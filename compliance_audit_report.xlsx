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tiff" ContentType="image/tiff"/>
  <Default Extension="wmz" ContentType="image/x-wmz"/>
  <Default Extension="bmp" ContentType="image/bmp"/>
  <Default Extension="png" ContentType="image/png"/>
  <Default Extension="svg" ContentType="image/svg"/>
  <Default Extension="emf" ContentType="image/x-emf"/>
  <Default Extension="wmf" ContentType="image/x-wm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1" r:id="rId1"/>
    <sheet name="Detailed Data" sheetId="2" r:id="rId5"/>
    <sheet name="Exceptions" sheetId="3" r:id="rId6"/>
    <sheet name="Charts" sheetId="4" r:id="rId7"/>
  </sheets>
  <calcPr calcId="122211"/>
</workbook>
</file>

<file path=xl/sharedStrings.xml><?xml version="1.0" encoding="utf-8"?>
<sst xmlns="http://schemas.openxmlformats.org/spreadsheetml/2006/main" count="349" uniqueCount="349">
  <si>
    <t>ACA COMPLIANCE &amp; DATA QUALITY AUDIT REPORT</t>
  </si>
  <si>
    <t>Generated: 2026-09-10 18:00:37 EDT | System: Compliance Data Quality Engine v1.0</t>
  </si>
  <si>
    <t>📊 EXECUTIVE SUMMARY METRICS</t>
  </si>
  <si>
    <t>Total Ingested Records</t>
  </si>
  <si>
    <t>35</t>
  </si>
  <si>
    <t>Clean / Valid Records</t>
  </si>
  <si>
    <t>20</t>
  </si>
  <si>
    <t>Records with Data Quality Errors</t>
  </si>
  <si>
    <t>15</t>
  </si>
  <si>
    <t>Missing Required Fields Count</t>
  </si>
  <si>
    <t>3</t>
  </si>
  <si>
    <t>Duplicate Records Detected</t>
  </si>
  <si>
    <t>2</t>
  </si>
  <si>
    <t>Overall Error Rate</t>
  </si>
  <si>
    <t>42.86%</t>
  </si>
  <si>
    <t>Potential Full-Time Employees (&gt;= 130 hrs)</t>
  </si>
  <si>
    <t>32</t>
  </si>
  <si>
    <t>Average Monthly Hours Worked</t>
  </si>
  <si>
    <t>171.7 hrs</t>
  </si>
  <si>
    <t>Total Monthly Payroll Hours</t>
  </si>
  <si>
    <t>6010.5 hrs</t>
  </si>
  <si>
    <t>⚠️ EXCEPTIONS BY SEVERITY</t>
  </si>
  <si>
    <t>CRITICAL</t>
  </si>
  <si>
    <t>Missing SSN/ID, negative hours/pay, invalid codes</t>
  </si>
  <si>
    <t>WARNING</t>
  </si>
  <si>
    <t>130+ hr PT breaches, FPL affordability threshold, 744+ hr</t>
  </si>
  <si>
    <t>INFO</t>
  </si>
  <si>
    <t>Missing optional fields (e.g. Department)</t>
  </si>
  <si>
    <t>🏢 DATA QUALITY &amp; COMPLIANCE BY DEPARTMENT</t>
  </si>
  <si>
    <t>Department Name</t>
  </si>
  <si>
    <t>Total Records</t>
  </si>
  <si>
    <t>Valid Records</t>
  </si>
  <si>
    <t>Error Records</t>
  </si>
  <si>
    <t>Error Rate</t>
  </si>
  <si>
    <t>Avg Monthly Hours</t>
  </si>
  <si>
    <t>Compliance Status</t>
  </si>
  <si>
    <t>Accounting</t>
  </si>
  <si>
    <t>0.00%</t>
  </si>
  <si>
    <t>165.0</t>
  </si>
  <si>
    <t>HEALTHY</t>
  </si>
  <si>
    <t>Administration</t>
  </si>
  <si>
    <t>157.5</t>
  </si>
  <si>
    <t>Clinical Services</t>
  </si>
  <si>
    <t>50.00%</t>
  </si>
  <si>
    <t>151.0</t>
  </si>
  <si>
    <t>ACTION REQUIRED</t>
  </si>
  <si>
    <t>Coordination</t>
  </si>
  <si>
    <t>800.0</t>
  </si>
  <si>
    <t>Corporate</t>
  </si>
  <si>
    <t>100.00%</t>
  </si>
  <si>
    <t>160.0</t>
  </si>
  <si>
    <t>Customer Service</t>
  </si>
  <si>
    <t>Customer Support</t>
  </si>
  <si>
    <t>120.0</t>
  </si>
  <si>
    <t>Engineering</t>
  </si>
  <si>
    <t>66.67%</t>
  </si>
  <si>
    <t>172.0</t>
  </si>
  <si>
    <t>Executive</t>
  </si>
  <si>
    <t>Human Resources</t>
  </si>
  <si>
    <t>IT Systems</t>
  </si>
  <si>
    <t>Management</t>
  </si>
  <si>
    <t>105.0</t>
  </si>
  <si>
    <t>Operations</t>
  </si>
  <si>
    <t>165.8</t>
  </si>
  <si>
    <t>Purchasing</t>
  </si>
  <si>
    <t>Quality Assurance</t>
  </si>
  <si>
    <t>80.0</t>
  </si>
  <si>
    <t>Sales</t>
  </si>
  <si>
    <t>40.00%</t>
  </si>
  <si>
    <t>166.0</t>
  </si>
  <si>
    <t>Unassigned / General</t>
  </si>
  <si>
    <t>135.0</t>
  </si>
  <si>
    <t>Warehouse</t>
  </si>
  <si>
    <t>177.5</t>
  </si>
  <si>
    <t>Record #</t>
  </si>
  <si>
    <t>Employee ID</t>
  </si>
  <si>
    <t>First Name</t>
  </si>
  <si>
    <t>Last Name</t>
  </si>
  <si>
    <t>SSN / TIN</t>
  </si>
  <si>
    <t>Department</t>
  </si>
  <si>
    <t>Employment Status</t>
  </si>
  <si>
    <t>Hire Date</t>
  </si>
  <si>
    <t>Monthly Hours</t>
  </si>
  <si>
    <t>Monthly Gross Pay</t>
  </si>
  <si>
    <t>Line 14 (Offer Code)</t>
  </si>
  <si>
    <t>Line 16 (Safe Harbor)</t>
  </si>
  <si>
    <t>Employee Premium ($)</t>
  </si>
  <si>
    <t>Validation Status</t>
  </si>
  <si>
    <t>Anomalies Count</t>
  </si>
  <si>
    <t>EMP001</t>
  </si>
  <si>
    <t>Marcus</t>
  </si>
  <si>
    <t>Vance</t>
  </si>
  <si>
    <t>452-88-1920</t>
  </si>
  <si>
    <t>Full-Time</t>
  </si>
  <si>
    <t>2021-03-15</t>
  </si>
  <si>
    <t>1E</t>
  </si>
  <si>
    <t>2C</t>
  </si>
  <si>
    <t>VALID</t>
  </si>
  <si>
    <t>EMP002</t>
  </si>
  <si>
    <t>Sarah</t>
  </si>
  <si>
    <t>Connor</t>
  </si>
  <si>
    <t>554-12-8874</t>
  </si>
  <si>
    <t>2020-08-01</t>
  </si>
  <si>
    <t>1A</t>
  </si>
  <si>
    <t>2F</t>
  </si>
  <si>
    <t>EMP003</t>
  </si>
  <si>
    <t>David</t>
  </si>
  <si>
    <t>Miller</t>
  </si>
  <si>
    <t/>
  </si>
  <si>
    <t>2022-01-10</t>
  </si>
  <si>
    <t>CRITICAL ERROR</t>
  </si>
  <si>
    <t>EMP004</t>
  </si>
  <si>
    <t>Elena</t>
  </si>
  <si>
    <t>Rostova</t>
  </si>
  <si>
    <t>000-12-3456</t>
  </si>
  <si>
    <t>2019-11-04</t>
  </si>
  <si>
    <t>EMP005</t>
  </si>
  <si>
    <t>Jamal</t>
  </si>
  <si>
    <t>Washington</t>
  </si>
  <si>
    <t>666-45-7890</t>
  </si>
  <si>
    <t>Part-Time</t>
  </si>
  <si>
    <t>2023-05-20</t>
  </si>
  <si>
    <t>1H</t>
  </si>
  <si>
    <t>2B</t>
  </si>
  <si>
    <t>EMP006</t>
  </si>
  <si>
    <t>Jessica</t>
  </si>
  <si>
    <t>Alba</t>
  </si>
  <si>
    <t>321-99-4455</t>
  </si>
  <si>
    <t>2022-09-15</t>
  </si>
  <si>
    <t>EMP007</t>
  </si>
  <si>
    <t>Chen</t>
  </si>
  <si>
    <t>198-44-3321</t>
  </si>
  <si>
    <t>2020-02-18</t>
  </si>
  <si>
    <t>EMP008</t>
  </si>
  <si>
    <t>Robert</t>
  </si>
  <si>
    <t>DeNiro</t>
  </si>
  <si>
    <t>412-55-6677</t>
  </si>
  <si>
    <t>2024-04-01</t>
  </si>
  <si>
    <t>9Z</t>
  </si>
  <si>
    <t>EMP009</t>
  </si>
  <si>
    <t>Emily</t>
  </si>
  <si>
    <t>Watson</t>
  </si>
  <si>
    <t>887-22-1134</t>
  </si>
  <si>
    <t>2021-07-12</t>
  </si>
  <si>
    <t>2G</t>
  </si>
  <si>
    <t>EMP010</t>
  </si>
  <si>
    <t>Michael</t>
  </si>
  <si>
    <t>Scott</t>
  </si>
  <si>
    <t>234-56-7891</t>
  </si>
  <si>
    <t>2018-04-01</t>
  </si>
  <si>
    <t>EMP011</t>
  </si>
  <si>
    <t>Dwight</t>
  </si>
  <si>
    <t>Schrute</t>
  </si>
  <si>
    <t>345-67-8912</t>
  </si>
  <si>
    <t>2019-06-15</t>
  </si>
  <si>
    <t>EMP012</t>
  </si>
  <si>
    <t>Jim</t>
  </si>
  <si>
    <t>Halpert</t>
  </si>
  <si>
    <t>456-78-9012</t>
  </si>
  <si>
    <t>2020-01-10</t>
  </si>
  <si>
    <t>EMP013</t>
  </si>
  <si>
    <t>Pam</t>
  </si>
  <si>
    <t>Beesly</t>
  </si>
  <si>
    <t>567-89-0123</t>
  </si>
  <si>
    <t>2020-03-01</t>
  </si>
  <si>
    <t>EMP014</t>
  </si>
  <si>
    <t>Angela</t>
  </si>
  <si>
    <t>Martin</t>
  </si>
  <si>
    <t>678-90-1234</t>
  </si>
  <si>
    <t>2019-09-01</t>
  </si>
  <si>
    <t>EMP015</t>
  </si>
  <si>
    <t>Kevin</t>
  </si>
  <si>
    <t>Malone</t>
  </si>
  <si>
    <t>789-01-2345</t>
  </si>
  <si>
    <t>2021-05-15</t>
  </si>
  <si>
    <t>2X</t>
  </si>
  <si>
    <t>EMP016</t>
  </si>
  <si>
    <t>Oscar</t>
  </si>
  <si>
    <t>Martinez</t>
  </si>
  <si>
    <t>890-12-3456</t>
  </si>
  <si>
    <t>2018-11-01</t>
  </si>
  <si>
    <t>EMP017</t>
  </si>
  <si>
    <t>Stanley</t>
  </si>
  <si>
    <t>Hudson</t>
  </si>
  <si>
    <t>901-23-4567</t>
  </si>
  <si>
    <t>2017-02-15</t>
  </si>
  <si>
    <t>EMP018</t>
  </si>
  <si>
    <t>Phyllis</t>
  </si>
  <si>
    <t>912-34-5678</t>
  </si>
  <si>
    <t>2018-08-01</t>
  </si>
  <si>
    <t>EMP019</t>
  </si>
  <si>
    <t>Toby</t>
  </si>
  <si>
    <t>Flenderson</t>
  </si>
  <si>
    <t>123-45-6780</t>
  </si>
  <si>
    <t>2017-06-01</t>
  </si>
  <si>
    <t>EMP020</t>
  </si>
  <si>
    <t>Creed</t>
  </si>
  <si>
    <t>Bratton</t>
  </si>
  <si>
    <t>999-99-9999</t>
  </si>
  <si>
    <t>2015-01-01</t>
  </si>
  <si>
    <t>EMP021</t>
  </si>
  <si>
    <t>Meredith</t>
  </si>
  <si>
    <t>Palmer</t>
  </si>
  <si>
    <t>234-98-7654</t>
  </si>
  <si>
    <t>2019-10-15</t>
  </si>
  <si>
    <t>EMP022</t>
  </si>
  <si>
    <t>Kelly</t>
  </si>
  <si>
    <t>Kapoor</t>
  </si>
  <si>
    <t>345-87-6543</t>
  </si>
  <si>
    <t>2020-07-01</t>
  </si>
  <si>
    <t>EMP023</t>
  </si>
  <si>
    <t>Ryan</t>
  </si>
  <si>
    <t>Howard</t>
  </si>
  <si>
    <t>456-76-5432</t>
  </si>
  <si>
    <t>2022-03-15</t>
  </si>
  <si>
    <t>EMP024</t>
  </si>
  <si>
    <t>Andy</t>
  </si>
  <si>
    <t>Bernard</t>
  </si>
  <si>
    <t>567-65-4321</t>
  </si>
  <si>
    <t>2021-09-01</t>
  </si>
  <si>
    <t>EMP025</t>
  </si>
  <si>
    <t>Erin</t>
  </si>
  <si>
    <t>Hannon</t>
  </si>
  <si>
    <t>678-54-3210</t>
  </si>
  <si>
    <t>2022-04-15</t>
  </si>
  <si>
    <t>EMP026</t>
  </si>
  <si>
    <t>Darryl</t>
  </si>
  <si>
    <t>Philbin</t>
  </si>
  <si>
    <t>789-43-2109</t>
  </si>
  <si>
    <t>2018-01-15</t>
  </si>
  <si>
    <t>EMP027</t>
  </si>
  <si>
    <t>Roy</t>
  </si>
  <si>
    <t>Anderson</t>
  </si>
  <si>
    <t>890-32-1098</t>
  </si>
  <si>
    <t>2019-03-01</t>
  </si>
  <si>
    <t>EMP028</t>
  </si>
  <si>
    <t>Karen</t>
  </si>
  <si>
    <t>Filippelli</t>
  </si>
  <si>
    <t>901-21-0987</t>
  </si>
  <si>
    <t>2021-11-01</t>
  </si>
  <si>
    <t>EMP029</t>
  </si>
  <si>
    <t>Jan</t>
  </si>
  <si>
    <t>Levinson</t>
  </si>
  <si>
    <t>912-10-9876</t>
  </si>
  <si>
    <t>2016-05-01</t>
  </si>
  <si>
    <t>EMP030</t>
  </si>
  <si>
    <t>Wallace</t>
  </si>
  <si>
    <t>123-09-8765</t>
  </si>
  <si>
    <t>2015-08-01</t>
  </si>
  <si>
    <t>EMP031</t>
  </si>
  <si>
    <t>Clark</t>
  </si>
  <si>
    <t>Green</t>
  </si>
  <si>
    <t>2023-08-10</t>
  </si>
  <si>
    <t>EMP032</t>
  </si>
  <si>
    <t>Pete</t>
  </si>
  <si>
    <t>345-12-6789</t>
  </si>
  <si>
    <t>Variable-Hour</t>
  </si>
  <si>
    <t>2023-09-01</t>
  </si>
  <si>
    <t>EMP033</t>
  </si>
  <si>
    <t>Nellie</t>
  </si>
  <si>
    <t>Bertram</t>
  </si>
  <si>
    <t>456-23-7890</t>
  </si>
  <si>
    <t>1899-01-01</t>
  </si>
  <si>
    <t>EMP034</t>
  </si>
  <si>
    <t>Gabe</t>
  </si>
  <si>
    <t>Lewis</t>
  </si>
  <si>
    <t>567-34-8901</t>
  </si>
  <si>
    <t>2022-06-01</t>
  </si>
  <si>
    <t>Exception #</t>
  </si>
  <si>
    <t>Record ID</t>
  </si>
  <si>
    <t>Employee Name</t>
  </si>
  <si>
    <t>Field Name</t>
  </si>
  <si>
    <t>Severity</t>
  </si>
  <si>
    <t>Problem Description</t>
  </si>
  <si>
    <t>Invalid / Detected Value</t>
  </si>
  <si>
    <t>Suggested Action &amp; Correction</t>
  </si>
  <si>
    <t>David Miller</t>
  </si>
  <si>
    <t>SSN</t>
  </si>
  <si>
    <t>Missing SSN / Taxpayer Identification Number</t>
  </si>
  <si>
    <t>[EMPTY]</t>
  </si>
  <si>
    <t>Provide valid 9-digit SSN (XXX-XX-XXXX) or IRS ITIN</t>
  </si>
  <si>
    <t>Elena Rostova</t>
  </si>
  <si>
    <t>Invalid SSN format: Area number cannot be 000, 666, or 900-999</t>
  </si>
  <si>
    <t>Correct SSN digits to conform to SSA/IRS formatting guidelines</t>
  </si>
  <si>
    <t>Jamal Washington</t>
  </si>
  <si>
    <t>Jessica Alba</t>
  </si>
  <si>
    <t>MonthlyHours</t>
  </si>
  <si>
    <t>ACA FTE Threshold Breach: Part-time/Variable employee exceeded 130 hrs/month (30 hrs/wk)</t>
  </si>
  <si>
    <t>142.00 hrs (Part-Time)</t>
  </si>
  <si>
    <t>Review ACA Look-Back Measurement and evaluate mandatory health coverage offer</t>
  </si>
  <si>
    <t>FirstName</t>
  </si>
  <si>
    <t>Missing First Name</t>
  </si>
  <si>
    <t>Enter employee first name</t>
  </si>
  <si>
    <t>Robert DeNiro</t>
  </si>
  <si>
    <t>CoverageOfferCode</t>
  </si>
  <si>
    <t>Unrecognized Line 14 Offer Code '9Z'</t>
  </si>
  <si>
    <t>Must be valid IRS code: 1A, 1B, 1C, 1D, 1E, 1F, 1G, 1H, 1J, 1K, 1L, etc.</t>
  </si>
  <si>
    <t>Emily Watson</t>
  </si>
  <si>
    <t>EmployeeContribution</t>
  </si>
  <si>
    <t>Code 1A (Qualifying Offer) Exceeds Federal Poverty Line Affordability Threshold</t>
  </si>
  <si>
    <t>$250.00</t>
  </si>
  <si>
    <t>Qualifying Offer (1A) requires employee cost &lt;= 100% FPL safe harbor (~$108/mo)</t>
  </si>
  <si>
    <t>Michael Scott</t>
  </si>
  <si>
    <t>Negative Monthly Hours Logged</t>
  </si>
  <si>
    <t>-15.00</t>
  </si>
  <si>
    <t>Ensure hours worked &gt;= 0 or adjust payroll import</t>
  </si>
  <si>
    <t>Kevin Malone</t>
  </si>
  <si>
    <t>SafeHarborCode</t>
  </si>
  <si>
    <t>Unrecognized Section 4980H Safe Harbor Code '2X'</t>
  </si>
  <si>
    <t>Use valid code: 2A (Not Employed), 2B (Part-Time), 2C (Enrolled), 2F (W-2), 2G (FPL), 2H (Rate of Pay)</t>
  </si>
  <si>
    <t>Stanley Hudson</t>
  </si>
  <si>
    <t>Phyllis Vance</t>
  </si>
  <si>
    <t>Creed Bratton</t>
  </si>
  <si>
    <t>Ryan Howard</t>
  </si>
  <si>
    <t>MonthlyGrossPay</t>
  </si>
  <si>
    <t>Negative Monthly Gross Pay</t>
  </si>
  <si>
    <t>$-1200.00</t>
  </si>
  <si>
    <t>Correct payroll gross pay to positive balance</t>
  </si>
  <si>
    <t>Karen Filippelli</t>
  </si>
  <si>
    <t>Jan Levinson</t>
  </si>
  <si>
    <t>Marcus Vance</t>
  </si>
  <si>
    <t>EmployeeID</t>
  </si>
  <si>
    <t>Duplicate Employee ID found (Original in Record #1)</t>
  </si>
  <si>
    <t>Deduplicate payroll feed or verify unique employee badge/roster identifier</t>
  </si>
  <si>
    <t>Duplicate SSN/TIN assigned to multiple records (First seen in Record #1)</t>
  </si>
  <si>
    <t>Verify employee tax identification documentation for SSN collision</t>
  </si>
  <si>
    <t>Clark Green</t>
  </si>
  <si>
    <t>145.00 hrs (Part-Time)</t>
  </si>
  <si>
    <t>Duplicate SSN/TIN assigned to multiple records (First seen in Record #10)</t>
  </si>
  <si>
    <t>Pete Miller</t>
  </si>
  <si>
    <t>Missing Department Assignment</t>
  </si>
  <si>
    <t>Assign to valid department / cost center (e.g., Operations, IT, Sales)</t>
  </si>
  <si>
    <t>135.00 hrs (Variable-Hour)</t>
  </si>
  <si>
    <t>Nellie Bertram</t>
  </si>
  <si>
    <t>HireDate</t>
  </si>
  <si>
    <t>Invalid Hire Date: Hire date year precedes 1950</t>
  </si>
  <si>
    <t>Enter date in standard YYYY-MM-DD or MM/DD/YYYY format</t>
  </si>
  <si>
    <t>Gabe Lewis</t>
  </si>
  <si>
    <t>Monthly Hours Exceed Calendar Month Maximum (744 hrs)</t>
  </si>
  <si>
    <t>800.00</t>
  </si>
  <si>
    <t>Verify timesheet for duplicate shift submissions</t>
  </si>
  <si>
    <t>AUDIT &amp; COMPLIANCE VISUAL ANALYTICS DASHBOARD</t>
  </si>
  <si>
    <t>Status</t>
  </si>
  <si>
    <t>Count</t>
  </si>
  <si>
    <t>Clean Records</t>
  </si>
  <si>
    <t>Records with Errors</t>
  </si>
  <si>
    <t>Field</t>
  </si>
  <si>
    <t>Errors</t>
  </si>
  <si>
    <t>Error Rate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</si>
</sst>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18">
    <font>
      <sz val="11"/>
      <color theme="1"/>
      <name val="Calibri"/>
      <family val="2"/>
    </font>
    <font>
      <b val="1"/>
      <sz val="18"/>
      <color rgb="FFFFFFFF"/>
      <name val="Segoe UI"/>
      <family val="2"/>
    </font>
    <font>
      <i val="1"/>
      <sz val="10"/>
      <color rgb="FF94A3B8"/>
      <name val="Segoe UI"/>
      <family val="2"/>
    </font>
    <font>
      <b val="1"/>
      <sz val="12"/>
      <color rgb="FF0F172A"/>
      <name val="Segoe UI"/>
      <family val="2"/>
    </font>
    <font>
      <b val="1"/>
      <sz val="11"/>
      <color rgb="FFFFFFFF"/>
      <name val="Segoe UI"/>
      <family val="2"/>
    </font>
    <font>
      <b val="1"/>
      <sz val="10"/>
      <color rgb="FF475569"/>
      <name val="Segoe UI"/>
      <family val="2"/>
    </font>
    <font>
      <b val="1"/>
      <sz val="11"/>
      <color rgb="FF0F172A"/>
      <name val="Segoe UI"/>
      <family val="2"/>
    </font>
    <font>
      <b val="1"/>
      <sz val="11"/>
      <color rgb="FFDC2626"/>
      <name val="Segoe UI"/>
      <family val="2"/>
    </font>
    <font>
      <b val="1"/>
      <sz val="11"/>
      <color rgb="FF16A34A"/>
      <name val="Segoe UI"/>
      <family val="2"/>
    </font>
    <font>
      <sz val="10"/>
      <color/>
      <name val="Segoe UI"/>
      <family val="2"/>
    </font>
    <font>
      <b val="1"/>
      <sz val="10"/>
      <color rgb="FF15803D"/>
      <name val="Segoe UI"/>
      <family val="2"/>
    </font>
    <font>
      <b val="1"/>
      <sz val="10"/>
      <color rgb="FFB91C1C"/>
      <name val="Segoe UI"/>
      <family val="2"/>
    </font>
    <font>
      <b val="1"/>
      <sz val="10"/>
      <color rgb="FF991B1B"/>
      <name val="Segoe UI"/>
      <family val="2"/>
    </font>
    <font>
      <b val="1"/>
      <sz val="10"/>
      <color rgb="FF92400E"/>
      <name val="Segoe UI"/>
      <family val="2"/>
    </font>
    <font>
      <b val="1"/>
      <sz val="10"/>
      <color rgb="FF1E40AF"/>
      <name val="Segoe UI"/>
      <family val="2"/>
    </font>
    <font>
      <b val="1"/>
      <sz val="16"/>
      <color rgb="FFFFFFFF"/>
      <name val="Segoe UI"/>
      <family val="2"/>
    </font>
    <font>
      <b val="1"/>
      <sz val="10"/>
      <color rgb="FFFFFFFF"/>
      <name val="Segoe UI"/>
      <family val="2"/>
    </font>
    <font>
      <sz val="9"/>
      <color/>
      <name val="Segoe UI"/>
      <family val="2"/>
    </font>
  </fonts>
  <fills count="16">
    <fill>
      <patternFill patternType="none"/>
    </fill>
    <fill>
      <patternFill patternType="gray125"/>
    </fill>
    <fill>
      <patternFill patternType="solid">
        <fgColor rgb="FF1E293B"/>
      </patternFill>
    </fill>
    <fill>
      <patternFill patternType="solid">
        <fgColor rgb="FFE2E8F0"/>
      </patternFill>
    </fill>
    <fill>
      <patternFill patternType="solid">
        <fgColor rgb="FF334155"/>
      </patternFill>
    </fill>
    <fill>
      <patternFill patternType="solid">
        <fgColor rgb="FFF8FAFC"/>
      </patternFill>
    </fill>
    <fill>
      <patternFill patternType="solid">
        <fgColor rgb="FFFFFFFF"/>
      </patternFill>
    </fill>
    <fill>
      <patternFill patternType="solid">
        <fgColor rgb="FFFEF2F2"/>
      </patternFill>
    </fill>
    <fill>
      <patternFill patternType="solid">
        <fgColor rgb="FFF0FDF4"/>
      </patternFill>
    </fill>
    <fill>
      <patternFill patternType="solid">
        <fgColor rgb="FF1E3A8A"/>
      </patternFill>
    </fill>
    <fill>
      <patternFill patternType="solid">
        <fgColor rgb="FFDCFCE7"/>
      </patternFill>
    </fill>
    <fill>
      <patternFill patternType="solid">
        <fgColor rgb="FFFEE2E2"/>
      </patternFill>
    </fill>
    <fill>
      <patternFill patternType="solid">
        <fgColor rgb="FF881337"/>
      </patternFill>
    </fill>
    <fill>
      <patternFill patternType="solid">
        <fgColor rgb="FFFEF3C7"/>
      </patternFill>
    </fill>
    <fill>
      <patternFill patternType="solid">
        <fgColor rgb="FFDBEAFE"/>
      </patternFill>
    </fill>
    <fill>
      <patternFill patternType="solid">
        <fgColor rgb="FF0F172A"/>
      </patternFill>
    </fill>
  </fills>
  <borders count="9">
    <border>
      <left/>
      <right/>
      <top/>
      <bottom/>
      <diagonal/>
    </border>
    <border>
      <left/>
      <right/>
      <top/>
      <bottom style="medium">
        <color rgb="FF94A3B8"/>
      </bottom>
      <diagonal/>
    </border>
    <border>
      <left style="thin">
        <color rgb="FF1E293B"/>
      </left>
      <right style="thin">
        <color rgb="FF1E293B"/>
      </right>
      <top style="thin">
        <color rgb="FF1E293B"/>
      </top>
      <bottom style="thin">
        <color rgb="FF1E293B"/>
      </bottom>
      <diagonal/>
    </border>
    <border>
      <left style="thin">
        <color rgb="FFE2E8F0"/>
      </left>
      <right/>
      <top/>
      <bottom style="thin">
        <color rgb="FFE2E8F0"/>
      </bottom>
      <diagonal/>
    </border>
    <border>
      <left/>
      <right style="thin">
        <color rgb="FFE2E8F0"/>
      </right>
      <top/>
      <bottom style="thin">
        <color rgb="FFE2E8F0"/>
      </bottom>
      <diagonal/>
    </border>
    <border>
      <left style="thin">
        <color rgb="FFE2E8F0"/>
      </left>
      <right style="thin">
        <color rgb="FFE2E8F0"/>
      </right>
      <top style="thin">
        <color rgb="FFE2E8F0"/>
      </top>
      <bottom style="thin">
        <color rgb="FFE2E8F0"/>
      </bottom>
      <diagonal/>
    </border>
    <border>
      <left/>
      <right/>
      <top/>
      <bottom style="medium">
        <color rgb="FF0F172A"/>
      </bottom>
      <diagonal/>
    </border>
    <border>
      <left/>
      <right/>
      <top/>
      <bottom style="medium">
        <color rgb="FF4C0519"/>
      </bottom>
      <diagonal/>
    </border>
    <border>
      <left style="thin">
        <color rgb="FFE2E8F0"/>
      </left>
      <right style="thin">
        <color rgb="FFE2E8F0"/>
      </right>
      <top/>
      <bottom style="thin">
        <color rgb="FFE2E8F0"/>
      </bottom>
      <diagonal/>
    </border>
  </borders>
  <cellStyleXfs count="1">
    <xf numFmtId="0" fontId="0" fillId="0" borderId="0"/>
  </cellStyleXfs>
  <cellXfs count="29">
    <xf numFmtId="0" fontId="0" fillId="0" borderId="0" xfId="0"/>
    <xf numFmtId="0" fontId="1" fillId="2" borderId="0" xfId="0" applyFont="true" applyFill="true" applyAlignment="true">
      <alignment horizontal="left" indent="1" vertical="center"/>
    </xf>
    <xf numFmtId="0" fontId="2" fillId="2" borderId="0" xfId="0" applyFont="true" applyFill="true" applyAlignment="true">
      <alignment horizontal="left" indent="1" vertical="center"/>
    </xf>
    <xf numFmtId="0" fontId="3" fillId="3" borderId="1" xfId="0" applyFont="true" applyFill="true" applyBorder="true" applyAlignment="false">
      <alignment/>
    </xf>
    <xf numFmtId="0" fontId="4" fillId="4" borderId="2" xfId="0" applyFont="true" applyFill="true" applyBorder="true" applyAlignment="true">
      <alignment horizontal="center" vertical="center"/>
    </xf>
    <xf numFmtId="0" fontId="5" fillId="5" borderId="3" xfId="0" applyFont="true" applyFill="true" applyBorder="true" applyAlignment="true">
      <alignment horizontal="left" indent="1" vertical="center"/>
    </xf>
    <xf numFmtId="0" fontId="6" fillId="6" borderId="4" xfId="0" applyFont="true" applyFill="true" applyBorder="true" applyAlignment="true">
      <alignment horizontal="right" vertical="center"/>
    </xf>
    <xf numFmtId="0" fontId="7" fillId="7" borderId="4" xfId="0" applyFont="true" applyFill="true" applyBorder="true" applyAlignment="true">
      <alignment horizontal="right" vertical="center"/>
    </xf>
    <xf numFmtId="0" fontId="8" fillId="8" borderId="4" xfId="0" applyFont="true" applyFill="true" applyBorder="true" applyAlignment="true">
      <alignment horizontal="right" vertical="center"/>
    </xf>
    <xf numFmtId="0" fontId="9" fillId="0" borderId="5" xfId="0" applyFont="true" applyBorder="true" applyAlignment="true">
      <alignment horizontal="left" vertical="center"/>
    </xf>
    <xf numFmtId="0" fontId="9" fillId="0" borderId="5" xfId="0" applyFont="true" applyBorder="true" applyAlignment="true">
      <alignment horizontal="center" vertical="center"/>
    </xf>
    <xf numFmtId="0" fontId="9" fillId="0" borderId="5" xfId="0" applyFont="true" applyBorder="true" applyAlignment="true">
      <alignment horizontal="right" vertical="center"/>
    </xf>
    <xf numFmtId="0" fontId="4" fillId="9" borderId="6" xfId="0" applyFont="true" applyFill="true" applyBorder="true" applyAlignment="true">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0" fontId="9" fillId="0" borderId="0" xfId="0" applyFont="true" applyAlignment="true">
      <alignment horizontal="right" vertical="center"/>
    </xf>
    <xf numFmtId="164" fontId="9" fillId="0" borderId="0" xfId="0" applyNumberFormat="true" applyFont="true" applyAlignment="true">
      <alignment horizontal="right" vertical="center"/>
    </xf>
    <xf numFmtId="0" fontId="10" fillId="10" borderId="0" xfId="0" applyFont="true" applyFill="true" applyAlignment="true">
      <alignment horizontal="center" vertical="center"/>
    </xf>
    <xf numFmtId="0" fontId="11" fillId="11" borderId="0" xfId="0" applyFont="true" applyFill="true" applyAlignment="true">
      <alignment horizontal="center" vertical="center"/>
    </xf>
    <xf numFmtId="0" fontId="4" fillId="12" borderId="7" xfId="0" applyFont="true" applyFill="true" applyBorder="true" applyAlignment="true">
      <alignment horizontal="center" vertical="center"/>
    </xf>
    <xf numFmtId="0" fontId="9" fillId="0" borderId="8" xfId="0" applyFont="true" applyBorder="true" applyAlignment="true">
      <alignment horizontal="left" vertical="center"/>
    </xf>
    <xf numFmtId="0" fontId="9" fillId="0" borderId="8" xfId="0" applyFont="true" applyBorder="true" applyAlignment="true">
      <alignment horizontal="center" vertical="center"/>
    </xf>
    <xf numFmtId="0" fontId="12" fillId="11" borderId="8" xfId="0" applyFont="true" applyFill="true" applyBorder="true" applyAlignment="true">
      <alignment horizontal="center" vertical="center"/>
    </xf>
    <xf numFmtId="0" fontId="13" fillId="13" borderId="8" xfId="0" applyFont="true" applyFill="true" applyBorder="true" applyAlignment="true">
      <alignment horizontal="center" vertical="center"/>
    </xf>
    <xf numFmtId="0" fontId="14" fillId="14" borderId="8" xfId="0" applyFont="true" applyFill="true" applyBorder="true" applyAlignment="true">
      <alignment horizontal="center" vertical="center"/>
    </xf>
    <xf numFmtId="0" fontId="15" fillId="15" borderId="0" xfId="0" applyFont="true" applyFill="true" applyAlignment="true">
      <alignment horizontal="left" indent="1" vertical="center"/>
    </xf>
    <xf numFmtId="0" fontId="16" fillId="4" borderId="0" xfId="0" applyFont="true" applyFill="true" applyAlignment="true">
      <alignment horizontal="center" vertical="center"/>
    </xf>
    <xf numFmtId="0" fontId="17" fillId="0" borderId="0" xfId="0" applyFont="true" applyAlignment="true">
      <alignment horizontal="left" vertical="center"/>
    </xf>
    <xf numFmtId="0" fontId="17" fillId="0" borderId="0" xfId="0" applyFont="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Record Compliance Status (Clean vs Flagged)</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doughnutChart>
        <varyColors val="1"/>
        <ser>
          <idx val="0"/>
          <order val="0"/>
          <tx>
            <strRef>
              <f>Status Distribution</f>
            </strRef>
          </tx>
          <dLbls>
            <showLegendKey val="0"/>
            <showVal val="1"/>
            <showCatName val="0"/>
            <showSerName val="0"/>
            <showPercent val="1"/>
            <showBubbleSize val="0"/>
            <showLeaderLines val="0"/>
          </dLbls>
          <invertIfNegative val="0"/>
          <cat>
            <strRef>
              <f>'Charts'!$AA$2:$AA$3</f>
            </strRef>
          </cat>
          <val>
            <numRef>
              <f>'Charts'!$AB$2:$AB$3</f>
            </numRef>
          </val>
          <smooth val="0"/>
        </ser>
        <holeSize val="75"/>
      </doughnutChart>
    </plotArea>
    <legend>
      <legendPos val="b"/>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Data Quality Exceptions by Field</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bar"/>
        <grouping val="clustered"/>
        <varyColors val="1"/>
        <ser>
          <idx val="0"/>
          <order val="0"/>
          <tx>
            <strRef>
              <f>Exception Count</f>
            </strRef>
          </tx>
          <dLbls>
            <showLegendKey val="0"/>
            <showVal val="0"/>
            <showCatName val="0"/>
            <showSerName val="0"/>
            <showPercent val="0"/>
            <showBubbleSize val="0"/>
            <showLeaderLines val="0"/>
          </dLbls>
          <invertIfNegative val="0"/>
          <cat>
            <strRef>
              <f>'Charts'!$AD$2:$AD$11</f>
            </strRef>
          </cat>
          <val>
            <numRef>
              <f>'Charts'!$AE$2:$AE$11</f>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false" baseline="0" i="false" kern="0" spc="0" sz="1400">
                <a:solidFill>
                  <a:srgbClr val="595959"/>
                </a:solidFill>
              </a:rPr>
              <a:t>Data Quality Error Rate by Department (%)</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Department Error Rate (%)</f>
            </strRef>
          </tx>
          <dLbls>
            <showLegendKey val="0"/>
            <showVal val="0"/>
            <showCatName val="0"/>
            <showSerName val="0"/>
            <showPercent val="0"/>
            <showBubbleSize val="0"/>
            <showLeaderLines val="0"/>
          </dLbls>
          <invertIfNegative val="0"/>
          <cat>
            <strRef>
              <f>'Charts'!$AG$2:$AG$19</f>
            </strRef>
          </cat>
          <val>
            <numRef>
              <f>'Charts'!$AH$2:$AH$19</f>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6000000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2</xdr:row>
      <xdr:rowOff>0</xdr:rowOff>
    </xdr:from>
    <xdr:to>
      <xdr:col>8</xdr:col>
      <xdr:colOff>76200</xdr:colOff>
      <xdr:row>18</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8</xdr:col>
      <xdr:colOff>0</xdr:colOff>
      <xdr:row>2</xdr:row>
      <xdr:rowOff>0</xdr:rowOff>
    </xdr:from>
    <xdr:to>
      <xdr:col>16</xdr:col>
      <xdr:colOff>76200</xdr:colOff>
      <xdr:row>18</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twoCellAnchor>
    <xdr:from>
      <xdr:col>0</xdr:col>
      <xdr:colOff>0</xdr:colOff>
      <xdr:row>19</xdr:row>
      <xdr:rowOff>0</xdr:rowOff>
    </xdr:from>
    <xdr:to>
      <xdr:col>16</xdr:col>
      <xdr:colOff>342900</xdr:colOff>
      <xdr:row>36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fals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true" tabSelected="true" workbookViewId="0"/>
  </sheetViews>
  <sheetFormatPr defaultRowHeight="15"/>
  <cols>
    <col customWidth="true" max="1" min="1" width="28"/>
    <col customWidth="true" max="2" min="2" width="18"/>
    <col customWidth="true" max="5" min="3" width="16"/>
    <col customWidth="true" max="6" min="6" width="18"/>
    <col customWidth="true" max="7" min="7" width="22"/>
  </cols>
  <sheetData>
    <row r="1" ht="35" customHeight="true">
      <c r="A1" s="1" t="s">
        <v>0</v>
      </c>
      <c r="B1" s="1"/>
      <c r="C1" s="1"/>
      <c r="D1" s="1"/>
      <c r="E1" s="1"/>
      <c r="F1" s="1"/>
      <c r="G1" s="1"/>
    </row>
    <row r="2" ht="20" customHeight="true">
      <c r="A2" s="2" t="s">
        <v>1</v>
      </c>
      <c r="B2" s="2"/>
      <c r="C2" s="2"/>
      <c r="D2" s="2"/>
      <c r="E2" s="2"/>
      <c r="F2" s="2"/>
      <c r="G2" s="2"/>
    </row>
    <row r="3"/>
    <row r="4">
      <c r="A4" s="3" t="s">
        <v>2</v>
      </c>
      <c r="B4" s="3"/>
      <c r="C4" s="3"/>
      <c r="E4" s="3" t="s">
        <v>21</v>
      </c>
      <c r="F4" s="3"/>
      <c r="G4" s="3"/>
    </row>
    <row r="5" ht="22" customHeight="true">
      <c r="A5" s="5" t="s">
        <v>3</v>
      </c>
      <c r="B5" s="5"/>
      <c r="C5" s="6" t="s">
        <v>4</v>
      </c>
      <c r="E5" s="5" t="s">
        <v>22</v>
      </c>
      <c r="F5" s="6">
        <v>16</v>
      </c>
      <c r="G5" s="9" t="s">
        <v>23</v>
      </c>
    </row>
    <row r="6" ht="22" customHeight="true">
      <c r="A6" s="5" t="s">
        <v>5</v>
      </c>
      <c r="B6" s="5"/>
      <c r="C6" s="8" t="s">
        <v>6</v>
      </c>
      <c r="E6" s="5" t="s">
        <v>24</v>
      </c>
      <c r="F6" s="6">
        <v>6</v>
      </c>
      <c r="G6" s="9" t="s">
        <v>25</v>
      </c>
    </row>
    <row r="7" ht="22" customHeight="true">
      <c r="A7" s="5" t="s">
        <v>7</v>
      </c>
      <c r="B7" s="5"/>
      <c r="C7" s="7" t="s">
        <v>8</v>
      </c>
      <c r="E7" s="5" t="s">
        <v>26</v>
      </c>
      <c r="F7" s="6">
        <v>1</v>
      </c>
      <c r="G7" s="9" t="s">
        <v>27</v>
      </c>
    </row>
    <row r="8" ht="22" customHeight="true">
      <c r="A8" s="5" t="s">
        <v>9</v>
      </c>
      <c r="B8" s="5"/>
      <c r="C8" s="7" t="s">
        <v>10</v>
      </c>
    </row>
    <row r="9" ht="22" customHeight="true">
      <c r="A9" s="5" t="s">
        <v>11</v>
      </c>
      <c r="B9" s="5"/>
      <c r="C9" s="7" t="s">
        <v>12</v>
      </c>
    </row>
    <row r="10" ht="22" customHeight="true">
      <c r="A10" s="5" t="s">
        <v>13</v>
      </c>
      <c r="B10" s="5"/>
      <c r="C10" s="7" t="s">
        <v>14</v>
      </c>
    </row>
    <row r="11" ht="22" customHeight="true">
      <c r="A11" s="5" t="s">
        <v>15</v>
      </c>
      <c r="B11" s="5"/>
      <c r="C11" s="6" t="s">
        <v>16</v>
      </c>
    </row>
    <row r="12" ht="22" customHeight="true">
      <c r="A12" s="5" t="s">
        <v>17</v>
      </c>
      <c r="B12" s="5"/>
      <c r="C12" s="6" t="s">
        <v>18</v>
      </c>
    </row>
    <row r="13" ht="22" customHeight="true">
      <c r="A13" s="5" t="s">
        <v>19</v>
      </c>
      <c r="B13" s="5"/>
      <c r="C13" s="6" t="s">
        <v>20</v>
      </c>
    </row>
    <row r="14"/>
    <row r="15"/>
    <row r="16" ht="24" customHeight="true">
      <c r="A16" s="3" t="s">
        <v>28</v>
      </c>
      <c r="B16" s="3"/>
      <c r="C16" s="3"/>
      <c r="D16" s="3"/>
      <c r="E16" s="3"/>
      <c r="F16" s="3"/>
      <c r="G16" s="3"/>
    </row>
    <row r="17" ht="24" customHeight="true">
      <c r="A17" s="4" t="s">
        <v>29</v>
      </c>
      <c r="B17" s="4" t="s">
        <v>30</v>
      </c>
      <c r="C17" s="4" t="s">
        <v>31</v>
      </c>
      <c r="D17" s="4" t="s">
        <v>32</v>
      </c>
      <c r="E17" s="4" t="s">
        <v>33</v>
      </c>
      <c r="F17" s="4" t="s">
        <v>34</v>
      </c>
      <c r="G17" s="4" t="s">
        <v>35</v>
      </c>
    </row>
    <row r="18" ht="20" customHeight="true">
      <c r="A18" s="9" t="s">
        <v>36</v>
      </c>
      <c r="B18" s="11">
        <v>3</v>
      </c>
      <c r="C18" s="11">
        <v>3</v>
      </c>
      <c r="D18" s="11">
        <v>0</v>
      </c>
      <c r="E18" s="11" t="s">
        <v>37</v>
      </c>
      <c r="F18" s="11" t="s">
        <v>38</v>
      </c>
      <c r="G18" s="10" t="s">
        <v>39</v>
      </c>
    </row>
    <row r="19" ht="20" customHeight="true">
      <c r="A19" s="9" t="s">
        <v>40</v>
      </c>
      <c r="B19" s="11">
        <v>2</v>
      </c>
      <c r="C19" s="11">
        <v>2</v>
      </c>
      <c r="D19" s="11">
        <v>0</v>
      </c>
      <c r="E19" s="11" t="s">
        <v>37</v>
      </c>
      <c r="F19" s="11" t="s">
        <v>41</v>
      </c>
      <c r="G19" s="10" t="s">
        <v>39</v>
      </c>
    </row>
    <row r="20" ht="20" customHeight="true">
      <c r="A20" s="9" t="s">
        <v>42</v>
      </c>
      <c r="B20" s="11">
        <v>2</v>
      </c>
      <c r="C20" s="11">
        <v>1</v>
      </c>
      <c r="D20" s="11">
        <v>1</v>
      </c>
      <c r="E20" s="11" t="s">
        <v>43</v>
      </c>
      <c r="F20" s="11" t="s">
        <v>44</v>
      </c>
      <c r="G20" s="10" t="s">
        <v>45</v>
      </c>
    </row>
    <row r="21" ht="20" customHeight="true">
      <c r="A21" s="9" t="s">
        <v>46</v>
      </c>
      <c r="B21" s="11">
        <v>1</v>
      </c>
      <c r="C21" s="11">
        <v>1</v>
      </c>
      <c r="D21" s="11">
        <v>0</v>
      </c>
      <c r="E21" s="11" t="s">
        <v>37</v>
      </c>
      <c r="F21" s="11" t="s">
        <v>47</v>
      </c>
      <c r="G21" s="10" t="s">
        <v>39</v>
      </c>
    </row>
    <row r="22" ht="20" customHeight="true">
      <c r="A22" s="9" t="s">
        <v>48</v>
      </c>
      <c r="B22" s="11">
        <v>1</v>
      </c>
      <c r="C22" s="11">
        <v>0</v>
      </c>
      <c r="D22" s="11">
        <v>1</v>
      </c>
      <c r="E22" s="11" t="s">
        <v>49</v>
      </c>
      <c r="F22" s="11" t="s">
        <v>50</v>
      </c>
      <c r="G22" s="10" t="s">
        <v>45</v>
      </c>
    </row>
    <row r="23" ht="20" customHeight="true">
      <c r="A23" s="9" t="s">
        <v>51</v>
      </c>
      <c r="B23" s="11">
        <v>1</v>
      </c>
      <c r="C23" s="11">
        <v>1</v>
      </c>
      <c r="D23" s="11">
        <v>0</v>
      </c>
      <c r="E23" s="11" t="s">
        <v>37</v>
      </c>
      <c r="F23" s="11" t="s">
        <v>50</v>
      </c>
      <c r="G23" s="10" t="s">
        <v>39</v>
      </c>
    </row>
    <row r="24" ht="20" customHeight="true">
      <c r="A24" s="9" t="s">
        <v>52</v>
      </c>
      <c r="B24" s="11">
        <v>2</v>
      </c>
      <c r="C24" s="11">
        <v>0</v>
      </c>
      <c r="D24" s="11">
        <v>2</v>
      </c>
      <c r="E24" s="11" t="s">
        <v>49</v>
      </c>
      <c r="F24" s="11" t="s">
        <v>53</v>
      </c>
      <c r="G24" s="10" t="s">
        <v>45</v>
      </c>
    </row>
    <row r="25" ht="20" customHeight="true">
      <c r="A25" s="9" t="s">
        <v>54</v>
      </c>
      <c r="B25" s="11">
        <v>3</v>
      </c>
      <c r="C25" s="11">
        <v>1</v>
      </c>
      <c r="D25" s="11">
        <v>2</v>
      </c>
      <c r="E25" s="11" t="s">
        <v>55</v>
      </c>
      <c r="F25" s="11" t="s">
        <v>56</v>
      </c>
      <c r="G25" s="10" t="s">
        <v>45</v>
      </c>
    </row>
    <row r="26" ht="20" customHeight="true">
      <c r="A26" s="9" t="s">
        <v>57</v>
      </c>
      <c r="B26" s="11">
        <v>1</v>
      </c>
      <c r="C26" s="11">
        <v>1</v>
      </c>
      <c r="D26" s="11">
        <v>0</v>
      </c>
      <c r="E26" s="11" t="s">
        <v>37</v>
      </c>
      <c r="F26" s="11" t="s">
        <v>50</v>
      </c>
      <c r="G26" s="10" t="s">
        <v>39</v>
      </c>
    </row>
    <row r="27" ht="20" customHeight="true">
      <c r="A27" s="9" t="s">
        <v>58</v>
      </c>
      <c r="B27" s="11">
        <v>1</v>
      </c>
      <c r="C27" s="11">
        <v>1</v>
      </c>
      <c r="D27" s="11">
        <v>0</v>
      </c>
      <c r="E27" s="11" t="s">
        <v>37</v>
      </c>
      <c r="F27" s="11" t="s">
        <v>50</v>
      </c>
      <c r="G27" s="10" t="s">
        <v>39</v>
      </c>
    </row>
    <row r="28" ht="20" customHeight="true">
      <c r="A28" s="9" t="s">
        <v>59</v>
      </c>
      <c r="B28" s="11">
        <v>2</v>
      </c>
      <c r="C28" s="11">
        <v>1</v>
      </c>
      <c r="D28" s="11">
        <v>1</v>
      </c>
      <c r="E28" s="11" t="s">
        <v>43</v>
      </c>
      <c r="F28" s="11" t="s">
        <v>38</v>
      </c>
      <c r="G28" s="10" t="s">
        <v>45</v>
      </c>
    </row>
    <row r="29" ht="20" customHeight="true">
      <c r="A29" s="9" t="s">
        <v>60</v>
      </c>
      <c r="B29" s="11">
        <v>3</v>
      </c>
      <c r="C29" s="11">
        <v>0</v>
      </c>
      <c r="D29" s="11">
        <v>3</v>
      </c>
      <c r="E29" s="11" t="s">
        <v>49</v>
      </c>
      <c r="F29" s="11" t="s">
        <v>61</v>
      </c>
      <c r="G29" s="10" t="s">
        <v>45</v>
      </c>
    </row>
    <row r="30" ht="20" customHeight="true">
      <c r="A30" s="9" t="s">
        <v>62</v>
      </c>
      <c r="B30" s="11">
        <v>3</v>
      </c>
      <c r="C30" s="11">
        <v>1</v>
      </c>
      <c r="D30" s="11">
        <v>2</v>
      </c>
      <c r="E30" s="11" t="s">
        <v>55</v>
      </c>
      <c r="F30" s="11" t="s">
        <v>63</v>
      </c>
      <c r="G30" s="10" t="s">
        <v>45</v>
      </c>
    </row>
    <row r="31" ht="20" customHeight="true">
      <c r="A31" s="9" t="s">
        <v>64</v>
      </c>
      <c r="B31" s="11">
        <v>1</v>
      </c>
      <c r="C31" s="11">
        <v>1</v>
      </c>
      <c r="D31" s="11">
        <v>0</v>
      </c>
      <c r="E31" s="11" t="s">
        <v>37</v>
      </c>
      <c r="F31" s="11" t="s">
        <v>50</v>
      </c>
      <c r="G31" s="10" t="s">
        <v>39</v>
      </c>
    </row>
    <row r="32" ht="20" customHeight="true">
      <c r="A32" s="9" t="s">
        <v>65</v>
      </c>
      <c r="B32" s="11">
        <v>1</v>
      </c>
      <c r="C32" s="11">
        <v>0</v>
      </c>
      <c r="D32" s="11">
        <v>1</v>
      </c>
      <c r="E32" s="11" t="s">
        <v>49</v>
      </c>
      <c r="F32" s="11" t="s">
        <v>66</v>
      </c>
      <c r="G32" s="10" t="s">
        <v>45</v>
      </c>
    </row>
    <row r="33" ht="20" customHeight="true">
      <c r="A33" s="9" t="s">
        <v>67</v>
      </c>
      <c r="B33" s="11">
        <v>5</v>
      </c>
      <c r="C33" s="11">
        <v>3</v>
      </c>
      <c r="D33" s="11">
        <v>2</v>
      </c>
      <c r="E33" s="11" t="s">
        <v>68</v>
      </c>
      <c r="F33" s="11" t="s">
        <v>69</v>
      </c>
      <c r="G33" s="10" t="s">
        <v>45</v>
      </c>
    </row>
    <row r="34" ht="20" customHeight="true">
      <c r="A34" s="9" t="s">
        <v>70</v>
      </c>
      <c r="B34" s="11">
        <v>1</v>
      </c>
      <c r="C34" s="11">
        <v>1</v>
      </c>
      <c r="D34" s="11">
        <v>0</v>
      </c>
      <c r="E34" s="11" t="s">
        <v>37</v>
      </c>
      <c r="F34" s="11" t="s">
        <v>71</v>
      </c>
      <c r="G34" s="10" t="s">
        <v>39</v>
      </c>
    </row>
    <row r="35" ht="20" customHeight="true">
      <c r="A35" s="9" t="s">
        <v>72</v>
      </c>
      <c r="B35" s="11">
        <v>2</v>
      </c>
      <c r="C35" s="11">
        <v>2</v>
      </c>
      <c r="D35" s="11">
        <v>0</v>
      </c>
      <c r="E35" s="11" t="s">
        <v>37</v>
      </c>
      <c r="F35" s="11" t="s">
        <v>73</v>
      </c>
      <c r="G35" s="10" t="s">
        <v>39</v>
      </c>
    </row>
  </sheetData>
  <mergeCells count="14">
    <mergeCell ref="A1:G1"/>
    <mergeCell ref="A2:G2"/>
    <mergeCell ref="A4:C4"/>
    <mergeCell ref="A5:B5"/>
    <mergeCell ref="A6:B6"/>
    <mergeCell ref="A7:B7"/>
    <mergeCell ref="A8:B8"/>
    <mergeCell ref="A9:B9"/>
    <mergeCell ref="A10:B10"/>
    <mergeCell ref="A11:B11"/>
    <mergeCell ref="A12:B12"/>
    <mergeCell ref="A13:B13"/>
    <mergeCell ref="E4:G4"/>
    <mergeCell ref="A16:G16"/>
  </mergeCells>
</worksheet>
</file>

<file path=xl/worksheets/sheet2.xml><?xml version="1.0" encoding="utf-8"?>
<worksheet xmlns="http://schemas.openxmlformats.org/spreadsheetml/2006/main">
  <dimension ref="A1"/>
  <sheetViews>
    <sheetView showGridLines="true" workbookViewId="0"/>
  </sheetViews>
  <cols>
    <col customWidth="true" max="1" min="1" width="10"/>
    <col customWidth="true" max="2" min="2" width="14"/>
    <col customWidth="true" max="5" min="3" width="16"/>
    <col customWidth="true" max="6" min="6" width="22"/>
    <col customWidth="true" max="7" min="7" width="20"/>
    <col customWidth="true" max="8" min="8" width="14"/>
    <col customWidth="true" max="9" min="9" width="16"/>
    <col customWidth="true" max="10" min="10" width="18"/>
    <col customWidth="true" max="13" min="11" width="20"/>
    <col customWidth="true" max="14" min="14" width="18"/>
    <col customWidth="true" max="15" min="15" width="16"/>
  </cols>
  <sheetData>
    <row r="1" ht="28" customHeight="true">
      <c r="A1" s="12" t="s">
        <v>74</v>
      </c>
      <c r="B1" s="12" t="s">
        <v>75</v>
      </c>
      <c r="C1" s="12" t="s">
        <v>76</v>
      </c>
      <c r="D1" s="12" t="s">
        <v>77</v>
      </c>
      <c r="E1" s="12" t="s">
        <v>78</v>
      </c>
      <c r="F1" s="12" t="s">
        <v>79</v>
      </c>
      <c r="G1" s="12" t="s">
        <v>80</v>
      </c>
      <c r="H1" s="12" t="s">
        <v>81</v>
      </c>
      <c r="I1" s="12" t="s">
        <v>82</v>
      </c>
      <c r="J1" s="12" t="s">
        <v>83</v>
      </c>
      <c r="K1" s="12" t="s">
        <v>84</v>
      </c>
      <c r="L1" s="12" t="s">
        <v>85</v>
      </c>
      <c r="M1" s="12" t="s">
        <v>86</v>
      </c>
      <c r="N1" s="12" t="s">
        <v>87</v>
      </c>
      <c r="O1" s="12" t="s">
        <v>88</v>
      </c>
    </row>
    <row r="2" ht="20" customHeight="true">
      <c r="A2" s="14">
        <v>1</v>
      </c>
      <c r="B2" s="14" t="s">
        <v>89</v>
      </c>
      <c r="C2" s="13" t="s">
        <v>90</v>
      </c>
      <c r="D2" s="13" t="s">
        <v>91</v>
      </c>
      <c r="E2" s="14" t="s">
        <v>92</v>
      </c>
      <c r="F2" s="13" t="s">
        <v>54</v>
      </c>
      <c r="G2" s="13" t="s">
        <v>93</v>
      </c>
      <c r="H2" s="14" t="s">
        <v>94</v>
      </c>
      <c r="I2" s="15">
        <v>168</v>
      </c>
      <c r="J2" s="16">
        <v>8450</v>
      </c>
      <c r="K2" s="14" t="s">
        <v>95</v>
      </c>
      <c r="L2" s="14" t="s">
        <v>96</v>
      </c>
      <c r="M2" s="16">
        <v>120</v>
      </c>
      <c r="N2" s="17" t="s">
        <v>97</v>
      </c>
      <c r="O2" s="14">
        <v>0</v>
      </c>
    </row>
    <row r="3" ht="20" customHeight="true">
      <c r="A3" s="14">
        <v>2</v>
      </c>
      <c r="B3" s="14" t="s">
        <v>98</v>
      </c>
      <c r="C3" s="13" t="s">
        <v>99</v>
      </c>
      <c r="D3" s="13" t="s">
        <v>100</v>
      </c>
      <c r="E3" s="14" t="s">
        <v>101</v>
      </c>
      <c r="F3" s="13" t="s">
        <v>62</v>
      </c>
      <c r="G3" s="13" t="s">
        <v>93</v>
      </c>
      <c r="H3" s="14" t="s">
        <v>102</v>
      </c>
      <c r="I3" s="15">
        <v>172.5</v>
      </c>
      <c r="J3" s="16">
        <v>6200</v>
      </c>
      <c r="K3" s="14" t="s">
        <v>103</v>
      </c>
      <c r="L3" s="14" t="s">
        <v>104</v>
      </c>
      <c r="M3" s="16">
        <v>85</v>
      </c>
      <c r="N3" s="17" t="s">
        <v>97</v>
      </c>
      <c r="O3" s="14">
        <v>0</v>
      </c>
    </row>
    <row r="4" ht="20" customHeight="true">
      <c r="A4" s="14">
        <v>3</v>
      </c>
      <c r="B4" s="14" t="s">
        <v>105</v>
      </c>
      <c r="C4" s="13" t="s">
        <v>106</v>
      </c>
      <c r="D4" s="13" t="s">
        <v>107</v>
      </c>
      <c r="E4" s="14" t="s">
        <v>108</v>
      </c>
      <c r="F4" s="13" t="s">
        <v>42</v>
      </c>
      <c r="G4" s="13" t="s">
        <v>93</v>
      </c>
      <c r="H4" s="14" t="s">
        <v>109</v>
      </c>
      <c r="I4" s="15">
        <v>160</v>
      </c>
      <c r="J4" s="16">
        <v>7100</v>
      </c>
      <c r="K4" s="14" t="s">
        <v>95</v>
      </c>
      <c r="L4" s="14" t="s">
        <v>96</v>
      </c>
      <c r="M4" s="16">
        <v>110</v>
      </c>
      <c r="N4" s="18" t="s">
        <v>110</v>
      </c>
      <c r="O4" s="14">
        <v>1</v>
      </c>
    </row>
    <row r="5" ht="20" customHeight="true">
      <c r="A5" s="14">
        <v>4</v>
      </c>
      <c r="B5" s="14" t="s">
        <v>111</v>
      </c>
      <c r="C5" s="13" t="s">
        <v>112</v>
      </c>
      <c r="D5" s="13" t="s">
        <v>113</v>
      </c>
      <c r="E5" s="14" t="s">
        <v>114</v>
      </c>
      <c r="F5" s="13" t="s">
        <v>54</v>
      </c>
      <c r="G5" s="13" t="s">
        <v>93</v>
      </c>
      <c r="H5" s="14" t="s">
        <v>115</v>
      </c>
      <c r="I5" s="15">
        <v>180</v>
      </c>
      <c r="J5" s="16">
        <v>9500</v>
      </c>
      <c r="K5" s="14" t="s">
        <v>95</v>
      </c>
      <c r="L5" s="14" t="s">
        <v>96</v>
      </c>
      <c r="M5" s="16">
        <v>130</v>
      </c>
      <c r="N5" s="18" t="s">
        <v>110</v>
      </c>
      <c r="O5" s="14">
        <v>1</v>
      </c>
    </row>
    <row r="6" ht="20" customHeight="true">
      <c r="A6" s="14">
        <v>5</v>
      </c>
      <c r="B6" s="14" t="s">
        <v>116</v>
      </c>
      <c r="C6" s="13" t="s">
        <v>117</v>
      </c>
      <c r="D6" s="13" t="s">
        <v>118</v>
      </c>
      <c r="E6" s="14" t="s">
        <v>119</v>
      </c>
      <c r="F6" s="13" t="s">
        <v>52</v>
      </c>
      <c r="G6" s="13" t="s">
        <v>120</v>
      </c>
      <c r="H6" s="14" t="s">
        <v>121</v>
      </c>
      <c r="I6" s="15">
        <v>95</v>
      </c>
      <c r="J6" s="16">
        <v>2800</v>
      </c>
      <c r="K6" s="14" t="s">
        <v>122</v>
      </c>
      <c r="L6" s="14" t="s">
        <v>123</v>
      </c>
      <c r="M6" s="16">
        <v>0</v>
      </c>
      <c r="N6" s="18" t="s">
        <v>110</v>
      </c>
      <c r="O6" s="14">
        <v>1</v>
      </c>
    </row>
    <row r="7" ht="20" customHeight="true">
      <c r="A7" s="14">
        <v>6</v>
      </c>
      <c r="B7" s="14" t="s">
        <v>124</v>
      </c>
      <c r="C7" s="13" t="s">
        <v>125</v>
      </c>
      <c r="D7" s="13" t="s">
        <v>126</v>
      </c>
      <c r="E7" s="14" t="s">
        <v>127</v>
      </c>
      <c r="F7" s="13" t="s">
        <v>42</v>
      </c>
      <c r="G7" s="13" t="s">
        <v>120</v>
      </c>
      <c r="H7" s="14" t="s">
        <v>128</v>
      </c>
      <c r="I7" s="15">
        <v>142</v>
      </c>
      <c r="J7" s="16">
        <v>4200</v>
      </c>
      <c r="K7" s="14" t="s">
        <v>122</v>
      </c>
      <c r="L7" s="14" t="s">
        <v>123</v>
      </c>
      <c r="M7" s="16">
        <v>0</v>
      </c>
      <c r="N7" s="18" t="s">
        <v>24</v>
      </c>
      <c r="O7" s="14">
        <v>1</v>
      </c>
    </row>
    <row r="8" ht="20" customHeight="true">
      <c r="A8" s="14">
        <v>7</v>
      </c>
      <c r="B8" s="14" t="s">
        <v>129</v>
      </c>
      <c r="C8" s="13" t="s">
        <v>108</v>
      </c>
      <c r="D8" s="13" t="s">
        <v>130</v>
      </c>
      <c r="E8" s="14" t="s">
        <v>131</v>
      </c>
      <c r="F8" s="13" t="s">
        <v>59</v>
      </c>
      <c r="G8" s="13" t="s">
        <v>93</v>
      </c>
      <c r="H8" s="14" t="s">
        <v>132</v>
      </c>
      <c r="I8" s="15">
        <v>160</v>
      </c>
      <c r="J8" s="16">
        <v>7800</v>
      </c>
      <c r="K8" s="14" t="s">
        <v>95</v>
      </c>
      <c r="L8" s="14" t="s">
        <v>96</v>
      </c>
      <c r="M8" s="16">
        <v>115</v>
      </c>
      <c r="N8" s="18" t="s">
        <v>110</v>
      </c>
      <c r="O8" s="14">
        <v>1</v>
      </c>
    </row>
    <row r="9" ht="20" customHeight="true">
      <c r="A9" s="14">
        <v>8</v>
      </c>
      <c r="B9" s="14" t="s">
        <v>133</v>
      </c>
      <c r="C9" s="13" t="s">
        <v>134</v>
      </c>
      <c r="D9" s="13" t="s">
        <v>135</v>
      </c>
      <c r="E9" s="14" t="s">
        <v>136</v>
      </c>
      <c r="F9" s="13" t="s">
        <v>62</v>
      </c>
      <c r="G9" s="13" t="s">
        <v>93</v>
      </c>
      <c r="H9" s="14" t="s">
        <v>137</v>
      </c>
      <c r="I9" s="15">
        <v>165</v>
      </c>
      <c r="J9" s="16">
        <v>5900</v>
      </c>
      <c r="K9" s="14" t="s">
        <v>138</v>
      </c>
      <c r="L9" s="14" t="s">
        <v>96</v>
      </c>
      <c r="M9" s="16">
        <v>105</v>
      </c>
      <c r="N9" s="18" t="s">
        <v>110</v>
      </c>
      <c r="O9" s="14">
        <v>1</v>
      </c>
    </row>
    <row r="10" ht="20" customHeight="true">
      <c r="A10" s="14">
        <v>9</v>
      </c>
      <c r="B10" s="14" t="s">
        <v>139</v>
      </c>
      <c r="C10" s="13" t="s">
        <v>140</v>
      </c>
      <c r="D10" s="13" t="s">
        <v>141</v>
      </c>
      <c r="E10" s="14" t="s">
        <v>142</v>
      </c>
      <c r="F10" s="13" t="s">
        <v>59</v>
      </c>
      <c r="G10" s="13" t="s">
        <v>93</v>
      </c>
      <c r="H10" s="14" t="s">
        <v>143</v>
      </c>
      <c r="I10" s="15">
        <v>170</v>
      </c>
      <c r="J10" s="16">
        <v>8100</v>
      </c>
      <c r="K10" s="14" t="s">
        <v>103</v>
      </c>
      <c r="L10" s="14" t="s">
        <v>144</v>
      </c>
      <c r="M10" s="16">
        <v>250</v>
      </c>
      <c r="N10" s="18" t="s">
        <v>24</v>
      </c>
      <c r="O10" s="14">
        <v>1</v>
      </c>
    </row>
    <row r="11" ht="20" customHeight="true">
      <c r="A11" s="14">
        <v>10</v>
      </c>
      <c r="B11" s="14" t="s">
        <v>145</v>
      </c>
      <c r="C11" s="13" t="s">
        <v>146</v>
      </c>
      <c r="D11" s="13" t="s">
        <v>147</v>
      </c>
      <c r="E11" s="14" t="s">
        <v>148</v>
      </c>
      <c r="F11" s="13" t="s">
        <v>60</v>
      </c>
      <c r="G11" s="13" t="s">
        <v>93</v>
      </c>
      <c r="H11" s="14" t="s">
        <v>149</v>
      </c>
      <c r="I11" s="15">
        <v>-15</v>
      </c>
      <c r="J11" s="16">
        <v>10000</v>
      </c>
      <c r="K11" s="14" t="s">
        <v>95</v>
      </c>
      <c r="L11" s="14" t="s">
        <v>96</v>
      </c>
      <c r="M11" s="16">
        <v>150</v>
      </c>
      <c r="N11" s="18" t="s">
        <v>110</v>
      </c>
      <c r="O11" s="14">
        <v>1</v>
      </c>
    </row>
    <row r="12" ht="20" customHeight="true">
      <c r="A12" s="14">
        <v>11</v>
      </c>
      <c r="B12" s="14" t="s">
        <v>150</v>
      </c>
      <c r="C12" s="13" t="s">
        <v>151</v>
      </c>
      <c r="D12" s="13" t="s">
        <v>152</v>
      </c>
      <c r="E12" s="14" t="s">
        <v>153</v>
      </c>
      <c r="F12" s="13" t="s">
        <v>67</v>
      </c>
      <c r="G12" s="13" t="s">
        <v>93</v>
      </c>
      <c r="H12" s="14" t="s">
        <v>154</v>
      </c>
      <c r="I12" s="15">
        <v>190</v>
      </c>
      <c r="J12" s="16">
        <v>6800</v>
      </c>
      <c r="K12" s="14" t="s">
        <v>95</v>
      </c>
      <c r="L12" s="14" t="s">
        <v>96</v>
      </c>
      <c r="M12" s="16">
        <v>125</v>
      </c>
      <c r="N12" s="17" t="s">
        <v>97</v>
      </c>
      <c r="O12" s="14">
        <v>0</v>
      </c>
    </row>
    <row r="13" ht="20" customHeight="true">
      <c r="A13" s="14">
        <v>12</v>
      </c>
      <c r="B13" s="14" t="s">
        <v>155</v>
      </c>
      <c r="C13" s="13" t="s">
        <v>156</v>
      </c>
      <c r="D13" s="13" t="s">
        <v>157</v>
      </c>
      <c r="E13" s="14" t="s">
        <v>158</v>
      </c>
      <c r="F13" s="13" t="s">
        <v>67</v>
      </c>
      <c r="G13" s="13" t="s">
        <v>93</v>
      </c>
      <c r="H13" s="14" t="s">
        <v>159</v>
      </c>
      <c r="I13" s="15">
        <v>160</v>
      </c>
      <c r="J13" s="16">
        <v>7200</v>
      </c>
      <c r="K13" s="14" t="s">
        <v>95</v>
      </c>
      <c r="L13" s="14" t="s">
        <v>96</v>
      </c>
      <c r="M13" s="16">
        <v>125</v>
      </c>
      <c r="N13" s="17" t="s">
        <v>97</v>
      </c>
      <c r="O13" s="14">
        <v>0</v>
      </c>
    </row>
    <row r="14" ht="20" customHeight="true">
      <c r="A14" s="14">
        <v>13</v>
      </c>
      <c r="B14" s="14" t="s">
        <v>160</v>
      </c>
      <c r="C14" s="13" t="s">
        <v>161</v>
      </c>
      <c r="D14" s="13" t="s">
        <v>162</v>
      </c>
      <c r="E14" s="14" t="s">
        <v>163</v>
      </c>
      <c r="F14" s="13" t="s">
        <v>40</v>
      </c>
      <c r="G14" s="13" t="s">
        <v>93</v>
      </c>
      <c r="H14" s="14" t="s">
        <v>164</v>
      </c>
      <c r="I14" s="15">
        <v>155</v>
      </c>
      <c r="J14" s="16">
        <v>5400</v>
      </c>
      <c r="K14" s="14" t="s">
        <v>95</v>
      </c>
      <c r="L14" s="14" t="s">
        <v>96</v>
      </c>
      <c r="M14" s="16">
        <v>110</v>
      </c>
      <c r="N14" s="17" t="s">
        <v>97</v>
      </c>
      <c r="O14" s="14">
        <v>0</v>
      </c>
    </row>
    <row r="15" ht="20" customHeight="true">
      <c r="A15" s="14">
        <v>14</v>
      </c>
      <c r="B15" s="14" t="s">
        <v>165</v>
      </c>
      <c r="C15" s="13" t="s">
        <v>166</v>
      </c>
      <c r="D15" s="13" t="s">
        <v>167</v>
      </c>
      <c r="E15" s="14" t="s">
        <v>168</v>
      </c>
      <c r="F15" s="13" t="s">
        <v>36</v>
      </c>
      <c r="G15" s="13" t="s">
        <v>93</v>
      </c>
      <c r="H15" s="14" t="s">
        <v>169</v>
      </c>
      <c r="I15" s="15">
        <v>165</v>
      </c>
      <c r="J15" s="16">
        <v>6500</v>
      </c>
      <c r="K15" s="14" t="s">
        <v>95</v>
      </c>
      <c r="L15" s="14" t="s">
        <v>96</v>
      </c>
      <c r="M15" s="16">
        <v>110</v>
      </c>
      <c r="N15" s="17" t="s">
        <v>97</v>
      </c>
      <c r="O15" s="14">
        <v>0</v>
      </c>
    </row>
    <row r="16" ht="20" customHeight="true">
      <c r="A16" s="14">
        <v>15</v>
      </c>
      <c r="B16" s="14" t="s">
        <v>170</v>
      </c>
      <c r="C16" s="13" t="s">
        <v>171</v>
      </c>
      <c r="D16" s="13" t="s">
        <v>172</v>
      </c>
      <c r="E16" s="14" t="s">
        <v>173</v>
      </c>
      <c r="F16" s="13" t="s">
        <v>36</v>
      </c>
      <c r="G16" s="13" t="s">
        <v>93</v>
      </c>
      <c r="H16" s="14" t="s">
        <v>174</v>
      </c>
      <c r="I16" s="15">
        <v>160</v>
      </c>
      <c r="J16" s="16">
        <v>5200</v>
      </c>
      <c r="K16" s="14" t="s">
        <v>95</v>
      </c>
      <c r="L16" s="14" t="s">
        <v>175</v>
      </c>
      <c r="M16" s="16">
        <v>110</v>
      </c>
      <c r="N16" s="18" t="s">
        <v>24</v>
      </c>
      <c r="O16" s="14">
        <v>1</v>
      </c>
    </row>
    <row r="17" ht="20" customHeight="true">
      <c r="A17" s="14">
        <v>16</v>
      </c>
      <c r="B17" s="14" t="s">
        <v>176</v>
      </c>
      <c r="C17" s="13" t="s">
        <v>177</v>
      </c>
      <c r="D17" s="13" t="s">
        <v>178</v>
      </c>
      <c r="E17" s="14" t="s">
        <v>179</v>
      </c>
      <c r="F17" s="13" t="s">
        <v>36</v>
      </c>
      <c r="G17" s="13" t="s">
        <v>93</v>
      </c>
      <c r="H17" s="14" t="s">
        <v>180</v>
      </c>
      <c r="I17" s="15">
        <v>170</v>
      </c>
      <c r="J17" s="16">
        <v>7400</v>
      </c>
      <c r="K17" s="14" t="s">
        <v>103</v>
      </c>
      <c r="L17" s="14" t="s">
        <v>104</v>
      </c>
      <c r="M17" s="16">
        <v>90</v>
      </c>
      <c r="N17" s="17" t="s">
        <v>97</v>
      </c>
      <c r="O17" s="14">
        <v>0</v>
      </c>
    </row>
    <row r="18" ht="20" customHeight="true">
      <c r="A18" s="14">
        <v>17</v>
      </c>
      <c r="B18" s="14" t="s">
        <v>181</v>
      </c>
      <c r="C18" s="13" t="s">
        <v>182</v>
      </c>
      <c r="D18" s="13" t="s">
        <v>183</v>
      </c>
      <c r="E18" s="14" t="s">
        <v>184</v>
      </c>
      <c r="F18" s="13" t="s">
        <v>67</v>
      </c>
      <c r="G18" s="13" t="s">
        <v>93</v>
      </c>
      <c r="H18" s="14" t="s">
        <v>185</v>
      </c>
      <c r="I18" s="15">
        <v>160</v>
      </c>
      <c r="J18" s="16">
        <v>7500</v>
      </c>
      <c r="K18" s="14" t="s">
        <v>95</v>
      </c>
      <c r="L18" s="14" t="s">
        <v>96</v>
      </c>
      <c r="M18" s="16">
        <v>130</v>
      </c>
      <c r="N18" s="18" t="s">
        <v>110</v>
      </c>
      <c r="O18" s="14">
        <v>1</v>
      </c>
    </row>
    <row r="19" ht="20" customHeight="true">
      <c r="A19" s="14">
        <v>18</v>
      </c>
      <c r="B19" s="14" t="s">
        <v>186</v>
      </c>
      <c r="C19" s="13" t="s">
        <v>187</v>
      </c>
      <c r="D19" s="13" t="s">
        <v>91</v>
      </c>
      <c r="E19" s="14" t="s">
        <v>188</v>
      </c>
      <c r="F19" s="13" t="s">
        <v>67</v>
      </c>
      <c r="G19" s="13" t="s">
        <v>93</v>
      </c>
      <c r="H19" s="14" t="s">
        <v>189</v>
      </c>
      <c r="I19" s="15">
        <v>160</v>
      </c>
      <c r="J19" s="16">
        <v>7100</v>
      </c>
      <c r="K19" s="14" t="s">
        <v>95</v>
      </c>
      <c r="L19" s="14" t="s">
        <v>96</v>
      </c>
      <c r="M19" s="16">
        <v>130</v>
      </c>
      <c r="N19" s="18" t="s">
        <v>110</v>
      </c>
      <c r="O19" s="14">
        <v>1</v>
      </c>
    </row>
    <row r="20" ht="20" customHeight="true">
      <c r="A20" s="14">
        <v>19</v>
      </c>
      <c r="B20" s="14" t="s">
        <v>190</v>
      </c>
      <c r="C20" s="13" t="s">
        <v>191</v>
      </c>
      <c r="D20" s="13" t="s">
        <v>192</v>
      </c>
      <c r="E20" s="14" t="s">
        <v>193</v>
      </c>
      <c r="F20" s="13" t="s">
        <v>58</v>
      </c>
      <c r="G20" s="13" t="s">
        <v>93</v>
      </c>
      <c r="H20" s="14" t="s">
        <v>194</v>
      </c>
      <c r="I20" s="15">
        <v>160</v>
      </c>
      <c r="J20" s="16">
        <v>6900</v>
      </c>
      <c r="K20" s="14" t="s">
        <v>95</v>
      </c>
      <c r="L20" s="14" t="s">
        <v>96</v>
      </c>
      <c r="M20" s="16">
        <v>115</v>
      </c>
      <c r="N20" s="17" t="s">
        <v>97</v>
      </c>
      <c r="O20" s="14">
        <v>0</v>
      </c>
    </row>
    <row r="21" ht="20" customHeight="true">
      <c r="A21" s="14">
        <v>20</v>
      </c>
      <c r="B21" s="14" t="s">
        <v>195</v>
      </c>
      <c r="C21" s="13" t="s">
        <v>196</v>
      </c>
      <c r="D21" s="13" t="s">
        <v>197</v>
      </c>
      <c r="E21" s="14" t="s">
        <v>198</v>
      </c>
      <c r="F21" s="13" t="s">
        <v>65</v>
      </c>
      <c r="G21" s="13" t="s">
        <v>120</v>
      </c>
      <c r="H21" s="14" t="s">
        <v>199</v>
      </c>
      <c r="I21" s="15">
        <v>80</v>
      </c>
      <c r="J21" s="16">
        <v>3000</v>
      </c>
      <c r="K21" s="14" t="s">
        <v>122</v>
      </c>
      <c r="L21" s="14" t="s">
        <v>123</v>
      </c>
      <c r="M21" s="16">
        <v>0</v>
      </c>
      <c r="N21" s="18" t="s">
        <v>110</v>
      </c>
      <c r="O21" s="14">
        <v>1</v>
      </c>
    </row>
    <row r="22" ht="20" customHeight="true">
      <c r="A22" s="14">
        <v>21</v>
      </c>
      <c r="B22" s="14" t="s">
        <v>200</v>
      </c>
      <c r="C22" s="13" t="s">
        <v>201</v>
      </c>
      <c r="D22" s="13" t="s">
        <v>202</v>
      </c>
      <c r="E22" s="14" t="s">
        <v>203</v>
      </c>
      <c r="F22" s="13" t="s">
        <v>64</v>
      </c>
      <c r="G22" s="13" t="s">
        <v>93</v>
      </c>
      <c r="H22" s="14" t="s">
        <v>204</v>
      </c>
      <c r="I22" s="15">
        <v>160</v>
      </c>
      <c r="J22" s="16">
        <v>5600</v>
      </c>
      <c r="K22" s="14" t="s">
        <v>95</v>
      </c>
      <c r="L22" s="14" t="s">
        <v>96</v>
      </c>
      <c r="M22" s="16">
        <v>110</v>
      </c>
      <c r="N22" s="17" t="s">
        <v>97</v>
      </c>
      <c r="O22" s="14">
        <v>0</v>
      </c>
    </row>
    <row r="23" ht="20" customHeight="true">
      <c r="A23" s="14">
        <v>22</v>
      </c>
      <c r="B23" s="14" t="s">
        <v>205</v>
      </c>
      <c r="C23" s="13" t="s">
        <v>206</v>
      </c>
      <c r="D23" s="13" t="s">
        <v>207</v>
      </c>
      <c r="E23" s="14" t="s">
        <v>208</v>
      </c>
      <c r="F23" s="13" t="s">
        <v>51</v>
      </c>
      <c r="G23" s="13" t="s">
        <v>93</v>
      </c>
      <c r="H23" s="14" t="s">
        <v>209</v>
      </c>
      <c r="I23" s="15">
        <v>160</v>
      </c>
      <c r="J23" s="16">
        <v>5100</v>
      </c>
      <c r="K23" s="14" t="s">
        <v>95</v>
      </c>
      <c r="L23" s="14" t="s">
        <v>96</v>
      </c>
      <c r="M23" s="16">
        <v>110</v>
      </c>
      <c r="N23" s="17" t="s">
        <v>97</v>
      </c>
      <c r="O23" s="14">
        <v>0</v>
      </c>
    </row>
    <row r="24" ht="20" customHeight="true">
      <c r="A24" s="14">
        <v>23</v>
      </c>
      <c r="B24" s="14" t="s">
        <v>210</v>
      </c>
      <c r="C24" s="13" t="s">
        <v>211</v>
      </c>
      <c r="D24" s="13" t="s">
        <v>212</v>
      </c>
      <c r="E24" s="14" t="s">
        <v>213</v>
      </c>
      <c r="F24" s="13" t="s">
        <v>60</v>
      </c>
      <c r="G24" s="13" t="s">
        <v>93</v>
      </c>
      <c r="H24" s="14" t="s">
        <v>214</v>
      </c>
      <c r="I24" s="15">
        <v>160</v>
      </c>
      <c r="J24" s="16">
        <v>-1200</v>
      </c>
      <c r="K24" s="14" t="s">
        <v>95</v>
      </c>
      <c r="L24" s="14" t="s">
        <v>96</v>
      </c>
      <c r="M24" s="16">
        <v>110</v>
      </c>
      <c r="N24" s="18" t="s">
        <v>110</v>
      </c>
      <c r="O24" s="14">
        <v>1</v>
      </c>
    </row>
    <row r="25" ht="20" customHeight="true">
      <c r="A25" s="14">
        <v>24</v>
      </c>
      <c r="B25" s="14" t="s">
        <v>215</v>
      </c>
      <c r="C25" s="13" t="s">
        <v>216</v>
      </c>
      <c r="D25" s="13" t="s">
        <v>217</v>
      </c>
      <c r="E25" s="14" t="s">
        <v>218</v>
      </c>
      <c r="F25" s="13" t="s">
        <v>67</v>
      </c>
      <c r="G25" s="13" t="s">
        <v>93</v>
      </c>
      <c r="H25" s="14" t="s">
        <v>219</v>
      </c>
      <c r="I25" s="15">
        <v>160</v>
      </c>
      <c r="J25" s="16">
        <v>6400</v>
      </c>
      <c r="K25" s="14" t="s">
        <v>95</v>
      </c>
      <c r="L25" s="14" t="s">
        <v>96</v>
      </c>
      <c r="M25" s="16">
        <v>125</v>
      </c>
      <c r="N25" s="17" t="s">
        <v>97</v>
      </c>
      <c r="O25" s="14">
        <v>0</v>
      </c>
    </row>
    <row r="26" ht="20" customHeight="true">
      <c r="A26" s="14">
        <v>25</v>
      </c>
      <c r="B26" s="14" t="s">
        <v>220</v>
      </c>
      <c r="C26" s="13" t="s">
        <v>221</v>
      </c>
      <c r="D26" s="13" t="s">
        <v>222</v>
      </c>
      <c r="E26" s="14" t="s">
        <v>223</v>
      </c>
      <c r="F26" s="13" t="s">
        <v>40</v>
      </c>
      <c r="G26" s="13" t="s">
        <v>93</v>
      </c>
      <c r="H26" s="14" t="s">
        <v>224</v>
      </c>
      <c r="I26" s="15">
        <v>160</v>
      </c>
      <c r="J26" s="16">
        <v>4800</v>
      </c>
      <c r="K26" s="14" t="s">
        <v>95</v>
      </c>
      <c r="L26" s="14" t="s">
        <v>96</v>
      </c>
      <c r="M26" s="16">
        <v>110</v>
      </c>
      <c r="N26" s="17" t="s">
        <v>97</v>
      </c>
      <c r="O26" s="14">
        <v>0</v>
      </c>
    </row>
    <row r="27" ht="20" customHeight="true">
      <c r="A27" s="14">
        <v>26</v>
      </c>
      <c r="B27" s="14" t="s">
        <v>225</v>
      </c>
      <c r="C27" s="13" t="s">
        <v>226</v>
      </c>
      <c r="D27" s="13" t="s">
        <v>227</v>
      </c>
      <c r="E27" s="14" t="s">
        <v>228</v>
      </c>
      <c r="F27" s="13" t="s">
        <v>72</v>
      </c>
      <c r="G27" s="13" t="s">
        <v>93</v>
      </c>
      <c r="H27" s="14" t="s">
        <v>229</v>
      </c>
      <c r="I27" s="15">
        <v>180</v>
      </c>
      <c r="J27" s="16">
        <v>6800</v>
      </c>
      <c r="K27" s="14" t="s">
        <v>95</v>
      </c>
      <c r="L27" s="14" t="s">
        <v>96</v>
      </c>
      <c r="M27" s="16">
        <v>120</v>
      </c>
      <c r="N27" s="17" t="s">
        <v>97</v>
      </c>
      <c r="O27" s="14">
        <v>0</v>
      </c>
    </row>
    <row r="28" ht="20" customHeight="true">
      <c r="A28" s="14">
        <v>27</v>
      </c>
      <c r="B28" s="14" t="s">
        <v>230</v>
      </c>
      <c r="C28" s="13" t="s">
        <v>231</v>
      </c>
      <c r="D28" s="13" t="s">
        <v>232</v>
      </c>
      <c r="E28" s="14" t="s">
        <v>233</v>
      </c>
      <c r="F28" s="13" t="s">
        <v>72</v>
      </c>
      <c r="G28" s="13" t="s">
        <v>93</v>
      </c>
      <c r="H28" s="14" t="s">
        <v>234</v>
      </c>
      <c r="I28" s="15">
        <v>175</v>
      </c>
      <c r="J28" s="16">
        <v>5900</v>
      </c>
      <c r="K28" s="14" t="s">
        <v>95</v>
      </c>
      <c r="L28" s="14" t="s">
        <v>96</v>
      </c>
      <c r="M28" s="16">
        <v>120</v>
      </c>
      <c r="N28" s="17" t="s">
        <v>97</v>
      </c>
      <c r="O28" s="14">
        <v>0</v>
      </c>
    </row>
    <row r="29" ht="20" customHeight="true">
      <c r="A29" s="14">
        <v>28</v>
      </c>
      <c r="B29" s="14" t="s">
        <v>235</v>
      </c>
      <c r="C29" s="13" t="s">
        <v>236</v>
      </c>
      <c r="D29" s="13" t="s">
        <v>237</v>
      </c>
      <c r="E29" s="14" t="s">
        <v>238</v>
      </c>
      <c r="F29" s="13" t="s">
        <v>60</v>
      </c>
      <c r="G29" s="13" t="s">
        <v>93</v>
      </c>
      <c r="H29" s="14" t="s">
        <v>239</v>
      </c>
      <c r="I29" s="15">
        <v>170</v>
      </c>
      <c r="J29" s="16">
        <v>8500</v>
      </c>
      <c r="K29" s="14" t="s">
        <v>103</v>
      </c>
      <c r="L29" s="14" t="s">
        <v>104</v>
      </c>
      <c r="M29" s="16">
        <v>95</v>
      </c>
      <c r="N29" s="18" t="s">
        <v>110</v>
      </c>
      <c r="O29" s="14">
        <v>1</v>
      </c>
    </row>
    <row r="30" ht="20" customHeight="true">
      <c r="A30" s="14">
        <v>29</v>
      </c>
      <c r="B30" s="14" t="s">
        <v>240</v>
      </c>
      <c r="C30" s="13" t="s">
        <v>241</v>
      </c>
      <c r="D30" s="13" t="s">
        <v>242</v>
      </c>
      <c r="E30" s="14" t="s">
        <v>243</v>
      </c>
      <c r="F30" s="13" t="s">
        <v>48</v>
      </c>
      <c r="G30" s="13" t="s">
        <v>93</v>
      </c>
      <c r="H30" s="14" t="s">
        <v>244</v>
      </c>
      <c r="I30" s="15">
        <v>160</v>
      </c>
      <c r="J30" s="16">
        <v>12500</v>
      </c>
      <c r="K30" s="14" t="s">
        <v>95</v>
      </c>
      <c r="L30" s="14" t="s">
        <v>96</v>
      </c>
      <c r="M30" s="16">
        <v>150</v>
      </c>
      <c r="N30" s="18" t="s">
        <v>110</v>
      </c>
      <c r="O30" s="14">
        <v>1</v>
      </c>
    </row>
    <row r="31" ht="20" customHeight="true">
      <c r="A31" s="14">
        <v>30</v>
      </c>
      <c r="B31" s="14" t="s">
        <v>245</v>
      </c>
      <c r="C31" s="13" t="s">
        <v>106</v>
      </c>
      <c r="D31" s="13" t="s">
        <v>246</v>
      </c>
      <c r="E31" s="14" t="s">
        <v>247</v>
      </c>
      <c r="F31" s="13" t="s">
        <v>57</v>
      </c>
      <c r="G31" s="13" t="s">
        <v>93</v>
      </c>
      <c r="H31" s="14" t="s">
        <v>248</v>
      </c>
      <c r="I31" s="15">
        <v>160</v>
      </c>
      <c r="J31" s="16">
        <v>18000</v>
      </c>
      <c r="K31" s="14" t="s">
        <v>95</v>
      </c>
      <c r="L31" s="14" t="s">
        <v>96</v>
      </c>
      <c r="M31" s="16">
        <v>150</v>
      </c>
      <c r="N31" s="17" t="s">
        <v>97</v>
      </c>
      <c r="O31" s="14">
        <v>0</v>
      </c>
    </row>
    <row r="32" ht="20" customHeight="true">
      <c r="A32" s="14">
        <v>31</v>
      </c>
      <c r="B32" s="14" t="s">
        <v>89</v>
      </c>
      <c r="C32" s="13" t="s">
        <v>90</v>
      </c>
      <c r="D32" s="13" t="s">
        <v>91</v>
      </c>
      <c r="E32" s="14" t="s">
        <v>92</v>
      </c>
      <c r="F32" s="13" t="s">
        <v>54</v>
      </c>
      <c r="G32" s="13" t="s">
        <v>93</v>
      </c>
      <c r="H32" s="14" t="s">
        <v>94</v>
      </c>
      <c r="I32" s="15">
        <v>168</v>
      </c>
      <c r="J32" s="16">
        <v>8450</v>
      </c>
      <c r="K32" s="14" t="s">
        <v>95</v>
      </c>
      <c r="L32" s="14" t="s">
        <v>96</v>
      </c>
      <c r="M32" s="16">
        <v>120</v>
      </c>
      <c r="N32" s="18" t="s">
        <v>110</v>
      </c>
      <c r="O32" s="14">
        <v>2</v>
      </c>
    </row>
    <row r="33" ht="20" customHeight="true">
      <c r="A33" s="14">
        <v>32</v>
      </c>
      <c r="B33" s="14" t="s">
        <v>249</v>
      </c>
      <c r="C33" s="13" t="s">
        <v>250</v>
      </c>
      <c r="D33" s="13" t="s">
        <v>251</v>
      </c>
      <c r="E33" s="14" t="s">
        <v>148</v>
      </c>
      <c r="F33" s="13" t="s">
        <v>52</v>
      </c>
      <c r="G33" s="13" t="s">
        <v>120</v>
      </c>
      <c r="H33" s="14" t="s">
        <v>252</v>
      </c>
      <c r="I33" s="15">
        <v>145</v>
      </c>
      <c r="J33" s="16">
        <v>3600</v>
      </c>
      <c r="K33" s="14" t="s">
        <v>122</v>
      </c>
      <c r="L33" s="14" t="s">
        <v>123</v>
      </c>
      <c r="M33" s="16">
        <v>0</v>
      </c>
      <c r="N33" s="18" t="s">
        <v>110</v>
      </c>
      <c r="O33" s="14">
        <v>2</v>
      </c>
    </row>
    <row r="34" ht="20" customHeight="true">
      <c r="A34" s="14">
        <v>33</v>
      </c>
      <c r="B34" s="14" t="s">
        <v>253</v>
      </c>
      <c r="C34" s="13" t="s">
        <v>254</v>
      </c>
      <c r="D34" s="13" t="s">
        <v>107</v>
      </c>
      <c r="E34" s="14" t="s">
        <v>255</v>
      </c>
      <c r="F34" s="13" t="s">
        <v>108</v>
      </c>
      <c r="G34" s="13" t="s">
        <v>256</v>
      </c>
      <c r="H34" s="14" t="s">
        <v>257</v>
      </c>
      <c r="I34" s="15">
        <v>135</v>
      </c>
      <c r="J34" s="16">
        <v>3400</v>
      </c>
      <c r="K34" s="14" t="s">
        <v>122</v>
      </c>
      <c r="L34" s="14" t="s">
        <v>123</v>
      </c>
      <c r="M34" s="16">
        <v>0</v>
      </c>
      <c r="N34" s="18" t="s">
        <v>24</v>
      </c>
      <c r="O34" s="14">
        <v>2</v>
      </c>
    </row>
    <row r="35" ht="20" customHeight="true">
      <c r="A35" s="14">
        <v>34</v>
      </c>
      <c r="B35" s="14" t="s">
        <v>258</v>
      </c>
      <c r="C35" s="13" t="s">
        <v>259</v>
      </c>
      <c r="D35" s="13" t="s">
        <v>260</v>
      </c>
      <c r="E35" s="14" t="s">
        <v>261</v>
      </c>
      <c r="F35" s="13" t="s">
        <v>62</v>
      </c>
      <c r="G35" s="13" t="s">
        <v>93</v>
      </c>
      <c r="H35" s="14" t="s">
        <v>262</v>
      </c>
      <c r="I35" s="15">
        <v>160</v>
      </c>
      <c r="J35" s="16">
        <v>7200</v>
      </c>
      <c r="K35" s="14" t="s">
        <v>95</v>
      </c>
      <c r="L35" s="14" t="s">
        <v>96</v>
      </c>
      <c r="M35" s="16">
        <v>120</v>
      </c>
      <c r="N35" s="18" t="s">
        <v>110</v>
      </c>
      <c r="O35" s="14">
        <v>1</v>
      </c>
    </row>
    <row r="36" ht="20" customHeight="true">
      <c r="A36" s="14">
        <v>35</v>
      </c>
      <c r="B36" s="14" t="s">
        <v>263</v>
      </c>
      <c r="C36" s="13" t="s">
        <v>264</v>
      </c>
      <c r="D36" s="13" t="s">
        <v>265</v>
      </c>
      <c r="E36" s="14" t="s">
        <v>266</v>
      </c>
      <c r="F36" s="13" t="s">
        <v>46</v>
      </c>
      <c r="G36" s="13" t="s">
        <v>93</v>
      </c>
      <c r="H36" s="14" t="s">
        <v>267</v>
      </c>
      <c r="I36" s="15">
        <v>800</v>
      </c>
      <c r="J36" s="16">
        <v>6100</v>
      </c>
      <c r="K36" s="14" t="s">
        <v>95</v>
      </c>
      <c r="L36" s="14" t="s">
        <v>96</v>
      </c>
      <c r="M36" s="16">
        <v>115</v>
      </c>
      <c r="N36" s="18" t="s">
        <v>24</v>
      </c>
      <c r="O36" s="14">
        <v>1</v>
      </c>
    </row>
  </sheetData>
</worksheet>
</file>

<file path=xl/worksheets/sheet3.xml><?xml version="1.0" encoding="utf-8"?>
<worksheet xmlns="http://schemas.openxmlformats.org/spreadsheetml/2006/main">
  <dimension ref="A1"/>
  <sheetViews>
    <sheetView showGridLines="true" workbookViewId="0"/>
  </sheetViews>
  <cols>
    <col customWidth="true" max="2" min="1" width="12"/>
    <col customWidth="true" max="3" min="3" width="14"/>
    <col customWidth="true" max="4" min="4" width="22"/>
    <col customWidth="true" max="5" min="5" width="20"/>
    <col customWidth="true" max="6" min="6" width="14"/>
    <col customWidth="true" max="7" min="7" width="40"/>
    <col customWidth="true" max="8" min="8" width="26"/>
    <col customWidth="true" max="9" min="9" width="46"/>
  </cols>
  <sheetData>
    <row r="1" ht="28" customHeight="true">
      <c r="A1" s="19" t="s">
        <v>268</v>
      </c>
      <c r="B1" s="19" t="s">
        <v>269</v>
      </c>
      <c r="C1" s="19" t="s">
        <v>75</v>
      </c>
      <c r="D1" s="19" t="s">
        <v>270</v>
      </c>
      <c r="E1" s="19" t="s">
        <v>271</v>
      </c>
      <c r="F1" s="19" t="s">
        <v>272</v>
      </c>
      <c r="G1" s="19" t="s">
        <v>273</v>
      </c>
      <c r="H1" s="19" t="s">
        <v>274</v>
      </c>
      <c r="I1" s="19" t="s">
        <v>275</v>
      </c>
    </row>
    <row r="2" ht="22" customHeight="true">
      <c r="A2" s="21">
        <v>1</v>
      </c>
      <c r="B2" s="21">
        <v>3</v>
      </c>
      <c r="C2" s="21" t="s">
        <v>105</v>
      </c>
      <c r="D2" s="20" t="s">
        <v>276</v>
      </c>
      <c r="E2" s="20" t="s">
        <v>277</v>
      </c>
      <c r="F2" s="22" t="s">
        <v>22</v>
      </c>
      <c r="G2" s="20" t="s">
        <v>278</v>
      </c>
      <c r="H2" s="20" t="s">
        <v>279</v>
      </c>
      <c r="I2" s="20" t="s">
        <v>280</v>
      </c>
    </row>
    <row r="3" ht="22" customHeight="true">
      <c r="A3" s="21">
        <v>2</v>
      </c>
      <c r="B3" s="21">
        <v>4</v>
      </c>
      <c r="C3" s="21" t="s">
        <v>111</v>
      </c>
      <c r="D3" s="20" t="s">
        <v>281</v>
      </c>
      <c r="E3" s="20" t="s">
        <v>277</v>
      </c>
      <c r="F3" s="22" t="s">
        <v>22</v>
      </c>
      <c r="G3" s="20" t="s">
        <v>282</v>
      </c>
      <c r="H3" s="20" t="s">
        <v>114</v>
      </c>
      <c r="I3" s="20" t="s">
        <v>283</v>
      </c>
    </row>
    <row r="4" ht="22" customHeight="true">
      <c r="A4" s="21">
        <v>3</v>
      </c>
      <c r="B4" s="21">
        <v>5</v>
      </c>
      <c r="C4" s="21" t="s">
        <v>116</v>
      </c>
      <c r="D4" s="20" t="s">
        <v>284</v>
      </c>
      <c r="E4" s="20" t="s">
        <v>277</v>
      </c>
      <c r="F4" s="22" t="s">
        <v>22</v>
      </c>
      <c r="G4" s="20" t="s">
        <v>282</v>
      </c>
      <c r="H4" s="20" t="s">
        <v>119</v>
      </c>
      <c r="I4" s="20" t="s">
        <v>283</v>
      </c>
    </row>
    <row r="5" ht="22" customHeight="true">
      <c r="A5" s="21">
        <v>4</v>
      </c>
      <c r="B5" s="21">
        <v>6</v>
      </c>
      <c r="C5" s="21" t="s">
        <v>124</v>
      </c>
      <c r="D5" s="20" t="s">
        <v>285</v>
      </c>
      <c r="E5" s="20" t="s">
        <v>286</v>
      </c>
      <c r="F5" s="23" t="s">
        <v>24</v>
      </c>
      <c r="G5" s="20" t="s">
        <v>287</v>
      </c>
      <c r="H5" s="20" t="s">
        <v>288</v>
      </c>
      <c r="I5" s="20" t="s">
        <v>289</v>
      </c>
    </row>
    <row r="6" ht="22" customHeight="true">
      <c r="A6" s="21">
        <v>5</v>
      </c>
      <c r="B6" s="21">
        <v>7</v>
      </c>
      <c r="C6" s="21" t="s">
        <v>129</v>
      </c>
      <c r="D6" s="20" t="s">
        <v>130</v>
      </c>
      <c r="E6" s="20" t="s">
        <v>290</v>
      </c>
      <c r="F6" s="22" t="s">
        <v>22</v>
      </c>
      <c r="G6" s="20" t="s">
        <v>291</v>
      </c>
      <c r="H6" s="20" t="s">
        <v>279</v>
      </c>
      <c r="I6" s="20" t="s">
        <v>292</v>
      </c>
    </row>
    <row r="7" ht="22" customHeight="true">
      <c r="A7" s="21">
        <v>6</v>
      </c>
      <c r="B7" s="21">
        <v>8</v>
      </c>
      <c r="C7" s="21" t="s">
        <v>133</v>
      </c>
      <c r="D7" s="20" t="s">
        <v>293</v>
      </c>
      <c r="E7" s="20" t="s">
        <v>294</v>
      </c>
      <c r="F7" s="22" t="s">
        <v>22</v>
      </c>
      <c r="G7" s="20" t="s">
        <v>295</v>
      </c>
      <c r="H7" s="20" t="s">
        <v>138</v>
      </c>
      <c r="I7" s="20" t="s">
        <v>296</v>
      </c>
    </row>
    <row r="8" ht="22" customHeight="true">
      <c r="A8" s="21">
        <v>7</v>
      </c>
      <c r="B8" s="21">
        <v>9</v>
      </c>
      <c r="C8" s="21" t="s">
        <v>139</v>
      </c>
      <c r="D8" s="20" t="s">
        <v>297</v>
      </c>
      <c r="E8" s="20" t="s">
        <v>298</v>
      </c>
      <c r="F8" s="23" t="s">
        <v>24</v>
      </c>
      <c r="G8" s="20" t="s">
        <v>299</v>
      </c>
      <c r="H8" s="20" t="s">
        <v>300</v>
      </c>
      <c r="I8" s="20" t="s">
        <v>301</v>
      </c>
    </row>
    <row r="9" ht="22" customHeight="true">
      <c r="A9" s="21">
        <v>8</v>
      </c>
      <c r="B9" s="21">
        <v>10</v>
      </c>
      <c r="C9" s="21" t="s">
        <v>145</v>
      </c>
      <c r="D9" s="20" t="s">
        <v>302</v>
      </c>
      <c r="E9" s="20" t="s">
        <v>286</v>
      </c>
      <c r="F9" s="22" t="s">
        <v>22</v>
      </c>
      <c r="G9" s="20" t="s">
        <v>303</v>
      </c>
      <c r="H9" s="20" t="s">
        <v>304</v>
      </c>
      <c r="I9" s="20" t="s">
        <v>305</v>
      </c>
    </row>
    <row r="10" ht="22" customHeight="true">
      <c r="A10" s="21">
        <v>9</v>
      </c>
      <c r="B10" s="21">
        <v>15</v>
      </c>
      <c r="C10" s="21" t="s">
        <v>170</v>
      </c>
      <c r="D10" s="20" t="s">
        <v>306</v>
      </c>
      <c r="E10" s="20" t="s">
        <v>307</v>
      </c>
      <c r="F10" s="23" t="s">
        <v>24</v>
      </c>
      <c r="G10" s="20" t="s">
        <v>308</v>
      </c>
      <c r="H10" s="20" t="s">
        <v>175</v>
      </c>
      <c r="I10" s="20" t="s">
        <v>309</v>
      </c>
    </row>
    <row r="11" ht="22" customHeight="true">
      <c r="A11" s="21">
        <v>10</v>
      </c>
      <c r="B11" s="21">
        <v>17</v>
      </c>
      <c r="C11" s="21" t="s">
        <v>181</v>
      </c>
      <c r="D11" s="20" t="s">
        <v>310</v>
      </c>
      <c r="E11" s="20" t="s">
        <v>277</v>
      </c>
      <c r="F11" s="22" t="s">
        <v>22</v>
      </c>
      <c r="G11" s="20" t="s">
        <v>282</v>
      </c>
      <c r="H11" s="20" t="s">
        <v>184</v>
      </c>
      <c r="I11" s="20" t="s">
        <v>283</v>
      </c>
    </row>
    <row r="12" ht="22" customHeight="true">
      <c r="A12" s="21">
        <v>11</v>
      </c>
      <c r="B12" s="21">
        <v>18</v>
      </c>
      <c r="C12" s="21" t="s">
        <v>186</v>
      </c>
      <c r="D12" s="20" t="s">
        <v>311</v>
      </c>
      <c r="E12" s="20" t="s">
        <v>277</v>
      </c>
      <c r="F12" s="22" t="s">
        <v>22</v>
      </c>
      <c r="G12" s="20" t="s">
        <v>282</v>
      </c>
      <c r="H12" s="20" t="s">
        <v>188</v>
      </c>
      <c r="I12" s="20" t="s">
        <v>283</v>
      </c>
    </row>
    <row r="13" ht="22" customHeight="true">
      <c r="A13" s="21">
        <v>12</v>
      </c>
      <c r="B13" s="21">
        <v>20</v>
      </c>
      <c r="C13" s="21" t="s">
        <v>195</v>
      </c>
      <c r="D13" s="20" t="s">
        <v>312</v>
      </c>
      <c r="E13" s="20" t="s">
        <v>277</v>
      </c>
      <c r="F13" s="22" t="s">
        <v>22</v>
      </c>
      <c r="G13" s="20" t="s">
        <v>282</v>
      </c>
      <c r="H13" s="20" t="s">
        <v>198</v>
      </c>
      <c r="I13" s="20" t="s">
        <v>283</v>
      </c>
    </row>
    <row r="14" ht="22" customHeight="true">
      <c r="A14" s="21">
        <v>13</v>
      </c>
      <c r="B14" s="21">
        <v>23</v>
      </c>
      <c r="C14" s="21" t="s">
        <v>210</v>
      </c>
      <c r="D14" s="20" t="s">
        <v>313</v>
      </c>
      <c r="E14" s="20" t="s">
        <v>314</v>
      </c>
      <c r="F14" s="22" t="s">
        <v>22</v>
      </c>
      <c r="G14" s="20" t="s">
        <v>315</v>
      </c>
      <c r="H14" s="20" t="s">
        <v>316</v>
      </c>
      <c r="I14" s="20" t="s">
        <v>317</v>
      </c>
    </row>
    <row r="15" ht="22" customHeight="true">
      <c r="A15" s="21">
        <v>14</v>
      </c>
      <c r="B15" s="21">
        <v>28</v>
      </c>
      <c r="C15" s="21" t="s">
        <v>235</v>
      </c>
      <c r="D15" s="20" t="s">
        <v>318</v>
      </c>
      <c r="E15" s="20" t="s">
        <v>277</v>
      </c>
      <c r="F15" s="22" t="s">
        <v>22</v>
      </c>
      <c r="G15" s="20" t="s">
        <v>282</v>
      </c>
      <c r="H15" s="20" t="s">
        <v>238</v>
      </c>
      <c r="I15" s="20" t="s">
        <v>283</v>
      </c>
    </row>
    <row r="16" ht="22" customHeight="true">
      <c r="A16" s="21">
        <v>15</v>
      </c>
      <c r="B16" s="21">
        <v>29</v>
      </c>
      <c r="C16" s="21" t="s">
        <v>240</v>
      </c>
      <c r="D16" s="20" t="s">
        <v>319</v>
      </c>
      <c r="E16" s="20" t="s">
        <v>277</v>
      </c>
      <c r="F16" s="22" t="s">
        <v>22</v>
      </c>
      <c r="G16" s="20" t="s">
        <v>282</v>
      </c>
      <c r="H16" s="20" t="s">
        <v>243</v>
      </c>
      <c r="I16" s="20" t="s">
        <v>283</v>
      </c>
    </row>
    <row r="17" ht="22" customHeight="true">
      <c r="A17" s="21">
        <v>16</v>
      </c>
      <c r="B17" s="21">
        <v>31</v>
      </c>
      <c r="C17" s="21" t="s">
        <v>89</v>
      </c>
      <c r="D17" s="20" t="s">
        <v>320</v>
      </c>
      <c r="E17" s="20" t="s">
        <v>321</v>
      </c>
      <c r="F17" s="22" t="s">
        <v>22</v>
      </c>
      <c r="G17" s="20" t="s">
        <v>322</v>
      </c>
      <c r="H17" s="20" t="s">
        <v>89</v>
      </c>
      <c r="I17" s="20" t="s">
        <v>323</v>
      </c>
    </row>
    <row r="18" ht="22" customHeight="true">
      <c r="A18" s="21">
        <v>17</v>
      </c>
      <c r="B18" s="21">
        <v>31</v>
      </c>
      <c r="C18" s="21" t="s">
        <v>89</v>
      </c>
      <c r="D18" s="20" t="s">
        <v>320</v>
      </c>
      <c r="E18" s="20" t="s">
        <v>277</v>
      </c>
      <c r="F18" s="22" t="s">
        <v>22</v>
      </c>
      <c r="G18" s="20" t="s">
        <v>324</v>
      </c>
      <c r="H18" s="20" t="s">
        <v>92</v>
      </c>
      <c r="I18" s="20" t="s">
        <v>325</v>
      </c>
    </row>
    <row r="19" ht="22" customHeight="true">
      <c r="A19" s="21">
        <v>18</v>
      </c>
      <c r="B19" s="21">
        <v>32</v>
      </c>
      <c r="C19" s="21" t="s">
        <v>249</v>
      </c>
      <c r="D19" s="20" t="s">
        <v>326</v>
      </c>
      <c r="E19" s="20" t="s">
        <v>286</v>
      </c>
      <c r="F19" s="23" t="s">
        <v>24</v>
      </c>
      <c r="G19" s="20" t="s">
        <v>287</v>
      </c>
      <c r="H19" s="20" t="s">
        <v>327</v>
      </c>
      <c r="I19" s="20" t="s">
        <v>289</v>
      </c>
    </row>
    <row r="20" ht="22" customHeight="true">
      <c r="A20" s="21">
        <v>19</v>
      </c>
      <c r="B20" s="21">
        <v>32</v>
      </c>
      <c r="C20" s="21" t="s">
        <v>249</v>
      </c>
      <c r="D20" s="20" t="s">
        <v>326</v>
      </c>
      <c r="E20" s="20" t="s">
        <v>277</v>
      </c>
      <c r="F20" s="22" t="s">
        <v>22</v>
      </c>
      <c r="G20" s="20" t="s">
        <v>328</v>
      </c>
      <c r="H20" s="20" t="s">
        <v>148</v>
      </c>
      <c r="I20" s="20" t="s">
        <v>325</v>
      </c>
    </row>
    <row r="21" ht="22" customHeight="true">
      <c r="A21" s="21">
        <v>20</v>
      </c>
      <c r="B21" s="21">
        <v>33</v>
      </c>
      <c r="C21" s="21" t="s">
        <v>253</v>
      </c>
      <c r="D21" s="20" t="s">
        <v>329</v>
      </c>
      <c r="E21" s="20" t="s">
        <v>79</v>
      </c>
      <c r="F21" s="24" t="s">
        <v>26</v>
      </c>
      <c r="G21" s="20" t="s">
        <v>330</v>
      </c>
      <c r="H21" s="20" t="s">
        <v>279</v>
      </c>
      <c r="I21" s="20" t="s">
        <v>331</v>
      </c>
    </row>
    <row r="22" ht="22" customHeight="true">
      <c r="A22" s="21">
        <v>21</v>
      </c>
      <c r="B22" s="21">
        <v>33</v>
      </c>
      <c r="C22" s="21" t="s">
        <v>253</v>
      </c>
      <c r="D22" s="20" t="s">
        <v>329</v>
      </c>
      <c r="E22" s="20" t="s">
        <v>286</v>
      </c>
      <c r="F22" s="23" t="s">
        <v>24</v>
      </c>
      <c r="G22" s="20" t="s">
        <v>287</v>
      </c>
      <c r="H22" s="20" t="s">
        <v>332</v>
      </c>
      <c r="I22" s="20" t="s">
        <v>289</v>
      </c>
    </row>
    <row r="23" ht="22" customHeight="true">
      <c r="A23" s="21">
        <v>22</v>
      </c>
      <c r="B23" s="21">
        <v>34</v>
      </c>
      <c r="C23" s="21" t="s">
        <v>258</v>
      </c>
      <c r="D23" s="20" t="s">
        <v>333</v>
      </c>
      <c r="E23" s="20" t="s">
        <v>334</v>
      </c>
      <c r="F23" s="22" t="s">
        <v>22</v>
      </c>
      <c r="G23" s="20" t="s">
        <v>335</v>
      </c>
      <c r="H23" s="20" t="s">
        <v>262</v>
      </c>
      <c r="I23" s="20" t="s">
        <v>336</v>
      </c>
    </row>
    <row r="24" ht="22" customHeight="true">
      <c r="A24" s="21">
        <v>23</v>
      </c>
      <c r="B24" s="21">
        <v>35</v>
      </c>
      <c r="C24" s="21" t="s">
        <v>263</v>
      </c>
      <c r="D24" s="20" t="s">
        <v>337</v>
      </c>
      <c r="E24" s="20" t="s">
        <v>286</v>
      </c>
      <c r="F24" s="23" t="s">
        <v>24</v>
      </c>
      <c r="G24" s="20" t="s">
        <v>338</v>
      </c>
      <c r="H24" s="20" t="s">
        <v>339</v>
      </c>
      <c r="I24" s="20" t="s">
        <v>340</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true" workbookViewId="0"/>
  </sheetViews>
  <sheetData>
    <row r="1" ht="32" customHeight="true">
      <c r="A1" s="25" t="s">
        <v>341</v>
      </c>
      <c r="B1" s="25"/>
      <c r="C1" s="25"/>
      <c r="D1" s="25"/>
      <c r="E1" s="25"/>
      <c r="F1" s="25"/>
      <c r="G1" s="25"/>
      <c r="H1" s="25"/>
      <c r="I1" s="25"/>
      <c r="J1" s="25"/>
      <c r="K1" s="25"/>
      <c r="L1" s="25"/>
      <c r="M1" s="25"/>
      <c r="N1" s="25"/>
      <c r="O1" s="25"/>
      <c r="P1" s="25"/>
      <c r="AA1" s="26" t="s">
        <v>342</v>
      </c>
      <c r="AB1" s="26" t="s">
        <v>343</v>
      </c>
      <c r="AD1" s="26" t="s">
        <v>346</v>
      </c>
      <c r="AE1" s="26" t="s">
        <v>347</v>
      </c>
      <c r="AG1" s="26" t="s">
        <v>79</v>
      </c>
      <c r="AH1" s="26" t="s">
        <v>348</v>
      </c>
    </row>
    <row r="2">
      <c r="AA2" s="27" t="s">
        <v>344</v>
      </c>
      <c r="AB2" s="28">
        <v>20</v>
      </c>
      <c r="AD2" s="27" t="s">
        <v>277</v>
      </c>
      <c r="AE2" s="28">
        <v>10</v>
      </c>
      <c r="AG2" s="27" t="s">
        <v>36</v>
      </c>
      <c r="AH2" s="28">
        <v>0</v>
      </c>
    </row>
    <row r="3">
      <c r="AA3" s="27" t="s">
        <v>345</v>
      </c>
      <c r="AB3" s="28">
        <v>15</v>
      </c>
      <c r="AD3" s="27" t="s">
        <v>286</v>
      </c>
      <c r="AE3" s="28">
        <v>5</v>
      </c>
      <c r="AG3" s="27" t="s">
        <v>40</v>
      </c>
      <c r="AH3" s="28">
        <v>0</v>
      </c>
    </row>
    <row r="4">
      <c r="AD4" s="27" t="s">
        <v>294</v>
      </c>
      <c r="AE4" s="28">
        <v>1</v>
      </c>
      <c r="AG4" s="27" t="s">
        <v>42</v>
      </c>
      <c r="AH4" s="28">
        <v>50</v>
      </c>
    </row>
    <row r="5">
      <c r="AD5" s="27" t="s">
        <v>307</v>
      </c>
      <c r="AE5" s="28">
        <v>1</v>
      </c>
      <c r="AG5" s="27" t="s">
        <v>46</v>
      </c>
      <c r="AH5" s="28">
        <v>0</v>
      </c>
    </row>
    <row r="6">
      <c r="AD6" s="27" t="s">
        <v>314</v>
      </c>
      <c r="AE6" s="28">
        <v>1</v>
      </c>
      <c r="AG6" s="27" t="s">
        <v>48</v>
      </c>
      <c r="AH6" s="28">
        <v>100</v>
      </c>
    </row>
    <row r="7">
      <c r="AD7" s="27" t="s">
        <v>321</v>
      </c>
      <c r="AE7" s="28">
        <v>1</v>
      </c>
      <c r="AG7" s="27" t="s">
        <v>51</v>
      </c>
      <c r="AH7" s="28">
        <v>0</v>
      </c>
    </row>
    <row r="8">
      <c r="AD8" s="27" t="s">
        <v>79</v>
      </c>
      <c r="AE8" s="28">
        <v>1</v>
      </c>
      <c r="AG8" s="27" t="s">
        <v>52</v>
      </c>
      <c r="AH8" s="28">
        <v>100</v>
      </c>
    </row>
    <row r="9">
      <c r="AD9" s="27" t="s">
        <v>298</v>
      </c>
      <c r="AE9" s="28">
        <v>1</v>
      </c>
      <c r="AG9" s="27" t="s">
        <v>54</v>
      </c>
      <c r="AH9" s="28">
        <v>66.67</v>
      </c>
    </row>
    <row r="10">
      <c r="AD10" s="27" t="s">
        <v>334</v>
      </c>
      <c r="AE10" s="28">
        <v>1</v>
      </c>
      <c r="AG10" s="27" t="s">
        <v>57</v>
      </c>
      <c r="AH10" s="28">
        <v>0</v>
      </c>
    </row>
    <row r="11">
      <c r="AD11" s="27" t="s">
        <v>290</v>
      </c>
      <c r="AE11" s="28">
        <v>1</v>
      </c>
      <c r="AG11" s="27" t="s">
        <v>58</v>
      </c>
      <c r="AH11" s="28">
        <v>0</v>
      </c>
    </row>
    <row r="12">
      <c r="AG12" s="27" t="s">
        <v>59</v>
      </c>
      <c r="AH12" s="28">
        <v>50</v>
      </c>
    </row>
    <row r="13">
      <c r="AG13" s="27" t="s">
        <v>60</v>
      </c>
      <c r="AH13" s="28">
        <v>100</v>
      </c>
    </row>
    <row r="14">
      <c r="AG14" s="27" t="s">
        <v>62</v>
      </c>
      <c r="AH14" s="28">
        <v>66.67</v>
      </c>
    </row>
    <row r="15">
      <c r="AG15" s="27" t="s">
        <v>64</v>
      </c>
      <c r="AH15" s="28">
        <v>0</v>
      </c>
    </row>
    <row r="16">
      <c r="AG16" s="27" t="s">
        <v>65</v>
      </c>
      <c r="AH16" s="28">
        <v>100</v>
      </c>
    </row>
    <row r="17">
      <c r="AG17" s="27" t="s">
        <v>67</v>
      </c>
      <c r="AH17" s="28">
        <v>40</v>
      </c>
    </row>
    <row r="18">
      <c r="AG18" s="27" t="s">
        <v>70</v>
      </c>
      <c r="AH18" s="28">
        <v>0</v>
      </c>
    </row>
    <row r="19">
      <c r="AG19" s="27" t="s">
        <v>72</v>
      </c>
      <c r="AH19" s="28">
        <v>0</v>
      </c>
    </row>
  </sheetData>
  <mergeCells count="1">
    <mergeCell ref="A1:P1"/>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